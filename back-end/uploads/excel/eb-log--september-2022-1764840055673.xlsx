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dmin\Downloads\"/>
    </mc:Choice>
  </mc:AlternateContent>
  <bookViews>
    <workbookView xWindow="0" yWindow="0" windowWidth="20490" windowHeight="7755" activeTab="13"/>
  </bookViews>
  <sheets>
    <sheet name="July 2020" sheetId="1" r:id="rId1"/>
    <sheet name="August 2020" sheetId="2" state="hidden" r:id="rId2"/>
    <sheet name="September 2020" sheetId="3" r:id="rId3"/>
    <sheet name="October 2020" sheetId="4" state="hidden" r:id="rId4"/>
    <sheet name="November 2020" sheetId="5" state="hidden" r:id="rId5"/>
    <sheet name="SEPTEMBER 2021" sheetId="6" state="hidden" r:id="rId6"/>
    <sheet name="December 2020" sheetId="7" state="hidden" r:id="rId7"/>
    <sheet name="JANUARY 2021" sheetId="8" state="hidden" r:id="rId8"/>
    <sheet name="FEBRUARY 2021" sheetId="9" state="hidden" r:id="rId9"/>
    <sheet name="OCTOBER 2021" sheetId="10" state="hidden" r:id="rId10"/>
    <sheet name="NOVEMBER-2021" sheetId="11" state="hidden" r:id="rId11"/>
    <sheet name="DECEMBER-2021" sheetId="12" r:id="rId12"/>
    <sheet name="AUGUST-2022" sheetId="13" r:id="rId13"/>
    <sheet name="SEPTEMBER-2022" sheetId="14" r:id="rId14"/>
  </sheets>
  <calcPr calcId="152511"/>
</workbook>
</file>

<file path=xl/calcChain.xml><?xml version="1.0" encoding="utf-8"?>
<calcChain xmlns="http://schemas.openxmlformats.org/spreadsheetml/2006/main">
  <c r="AE33" i="14" l="1"/>
  <c r="AA33" i="14"/>
  <c r="Y33" i="14"/>
  <c r="AH33" i="14" s="1"/>
  <c r="T33" i="14"/>
  <c r="O33" i="14"/>
  <c r="M33" i="14"/>
  <c r="J33" i="14"/>
  <c r="I33" i="14"/>
  <c r="AI33" i="14" s="1"/>
  <c r="C33" i="14"/>
  <c r="AJ32" i="14"/>
  <c r="AH32" i="14"/>
  <c r="AE32" i="14"/>
  <c r="AA32" i="14"/>
  <c r="Y32" i="14"/>
  <c r="T32" i="14"/>
  <c r="O32" i="14"/>
  <c r="M32" i="14"/>
  <c r="J32" i="14"/>
  <c r="U32" i="14" s="1"/>
  <c r="AK32" i="14" s="1"/>
  <c r="I32" i="14"/>
  <c r="AI32" i="14" s="1"/>
  <c r="C32" i="14"/>
  <c r="AI31" i="14"/>
  <c r="AE31" i="14"/>
  <c r="AA31" i="14"/>
  <c r="Y31" i="14"/>
  <c r="AH31" i="14" s="1"/>
  <c r="AJ31" i="14" s="1"/>
  <c r="T31" i="14"/>
  <c r="O31" i="14"/>
  <c r="M31" i="14"/>
  <c r="J31" i="14"/>
  <c r="U31" i="14" s="1"/>
  <c r="AK31" i="14" s="1"/>
  <c r="I31" i="14"/>
  <c r="C31" i="14"/>
  <c r="AH30" i="14"/>
  <c r="AJ30" i="14" s="1"/>
  <c r="AE30" i="14"/>
  <c r="AA30" i="14"/>
  <c r="Y30" i="14"/>
  <c r="T30" i="14"/>
  <c r="O30" i="14"/>
  <c r="M30" i="14"/>
  <c r="J30" i="14"/>
  <c r="U30" i="14" s="1"/>
  <c r="AK30" i="14" s="1"/>
  <c r="I30" i="14"/>
  <c r="AI30" i="14" s="1"/>
  <c r="C30" i="14"/>
  <c r="AE29" i="14"/>
  <c r="AA29" i="14"/>
  <c r="Y29" i="14"/>
  <c r="AH29" i="14" s="1"/>
  <c r="AJ29" i="14" s="1"/>
  <c r="T29" i="14"/>
  <c r="O29" i="14"/>
  <c r="M29" i="14"/>
  <c r="J29" i="14"/>
  <c r="U29" i="14" s="1"/>
  <c r="AK29" i="14" s="1"/>
  <c r="I29" i="14"/>
  <c r="AI29" i="14" s="1"/>
  <c r="C29" i="14"/>
  <c r="AH28" i="14"/>
  <c r="AE28" i="14"/>
  <c r="AA28" i="14"/>
  <c r="Y28" i="14"/>
  <c r="T28" i="14"/>
  <c r="O28" i="14"/>
  <c r="M28" i="14"/>
  <c r="J28" i="14"/>
  <c r="I28" i="14"/>
  <c r="AI28" i="14" s="1"/>
  <c r="AJ28" i="14" s="1"/>
  <c r="C28" i="14"/>
  <c r="AI27" i="14"/>
  <c r="AE27" i="14"/>
  <c r="AA27" i="14"/>
  <c r="Y27" i="14"/>
  <c r="AH27" i="14" s="1"/>
  <c r="T27" i="14"/>
  <c r="O27" i="14"/>
  <c r="M27" i="14"/>
  <c r="J27" i="14"/>
  <c r="I27" i="14"/>
  <c r="C27" i="14"/>
  <c r="AH26" i="14"/>
  <c r="AE26" i="14"/>
  <c r="AA26" i="14"/>
  <c r="Y26" i="14"/>
  <c r="T26" i="14"/>
  <c r="O26" i="14"/>
  <c r="M26" i="14"/>
  <c r="J26" i="14"/>
  <c r="U26" i="14" s="1"/>
  <c r="AK26" i="14" s="1"/>
  <c r="I26" i="14"/>
  <c r="AI26" i="14" s="1"/>
  <c r="C26" i="14"/>
  <c r="AE25" i="14"/>
  <c r="AA25" i="14"/>
  <c r="Y25" i="14"/>
  <c r="AH25" i="14" s="1"/>
  <c r="T25" i="14"/>
  <c r="O25" i="14"/>
  <c r="M25" i="14"/>
  <c r="J25" i="14"/>
  <c r="I25" i="14"/>
  <c r="AI25" i="14" s="1"/>
  <c r="C25" i="14"/>
  <c r="AJ24" i="14"/>
  <c r="AH24" i="14"/>
  <c r="AE24" i="14"/>
  <c r="AA24" i="14"/>
  <c r="Y24" i="14"/>
  <c r="T24" i="14"/>
  <c r="O24" i="14"/>
  <c r="M24" i="14"/>
  <c r="J24" i="14"/>
  <c r="I24" i="14"/>
  <c r="AI24" i="14" s="1"/>
  <c r="C24" i="14"/>
  <c r="AI23" i="14"/>
  <c r="AE23" i="14"/>
  <c r="AA23" i="14"/>
  <c r="Y23" i="14"/>
  <c r="AH23" i="14" s="1"/>
  <c r="AJ23" i="14" s="1"/>
  <c r="T23" i="14"/>
  <c r="O23" i="14"/>
  <c r="M23" i="14"/>
  <c r="J23" i="14"/>
  <c r="I23" i="14"/>
  <c r="C23" i="14"/>
  <c r="AH22" i="14"/>
  <c r="AE22" i="14"/>
  <c r="AA22" i="14"/>
  <c r="Y22" i="14"/>
  <c r="U22" i="14"/>
  <c r="AK22" i="14" s="1"/>
  <c r="T22" i="14"/>
  <c r="M22" i="14"/>
  <c r="J22" i="14"/>
  <c r="I22" i="14"/>
  <c r="AI22" i="14" s="1"/>
  <c r="C22" i="14"/>
  <c r="AH21" i="14"/>
  <c r="AE21" i="14"/>
  <c r="AA21" i="14"/>
  <c r="Y21" i="14"/>
  <c r="T21" i="14"/>
  <c r="O21" i="14"/>
  <c r="M21" i="14"/>
  <c r="J21" i="14"/>
  <c r="I21" i="14"/>
  <c r="AI21" i="14" s="1"/>
  <c r="AJ21" i="14" s="1"/>
  <c r="C21" i="14"/>
  <c r="AI20" i="14"/>
  <c r="AE20" i="14"/>
  <c r="AA20" i="14"/>
  <c r="Y20" i="14"/>
  <c r="AH20" i="14" s="1"/>
  <c r="AJ20" i="14" s="1"/>
  <c r="AL20" i="14" s="1"/>
  <c r="T20" i="14"/>
  <c r="O20" i="14"/>
  <c r="M20" i="14"/>
  <c r="J20" i="14"/>
  <c r="U20" i="14" s="1"/>
  <c r="AK20" i="14" s="1"/>
  <c r="I20" i="14"/>
  <c r="C20" i="14"/>
  <c r="AI19" i="14"/>
  <c r="AE19" i="14"/>
  <c r="AA19" i="14"/>
  <c r="Y19" i="14"/>
  <c r="AH19" i="14" s="1"/>
  <c r="AJ19" i="14" s="1"/>
  <c r="T19" i="14"/>
  <c r="O19" i="14"/>
  <c r="M19" i="14"/>
  <c r="J19" i="14"/>
  <c r="U19" i="14" s="1"/>
  <c r="AK19" i="14" s="1"/>
  <c r="I19" i="14"/>
  <c r="C19" i="14"/>
  <c r="AH18" i="14"/>
  <c r="AJ18" i="14" s="1"/>
  <c r="AE18" i="14"/>
  <c r="AA18" i="14"/>
  <c r="Y18" i="14"/>
  <c r="T18" i="14"/>
  <c r="O18" i="14"/>
  <c r="M18" i="14"/>
  <c r="J18" i="14"/>
  <c r="U18" i="14" s="1"/>
  <c r="AK18" i="14" s="1"/>
  <c r="AL18" i="14" s="1"/>
  <c r="I18" i="14"/>
  <c r="AI18" i="14" s="1"/>
  <c r="C18" i="14"/>
  <c r="AJ17" i="14"/>
  <c r="AH17" i="14"/>
  <c r="AE17" i="14"/>
  <c r="AA17" i="14"/>
  <c r="Y17" i="14"/>
  <c r="T17" i="14"/>
  <c r="O17" i="14"/>
  <c r="M17" i="14"/>
  <c r="J17" i="14"/>
  <c r="I17" i="14"/>
  <c r="AI17" i="14" s="1"/>
  <c r="C17" i="14"/>
  <c r="AI16" i="14"/>
  <c r="AE16" i="14"/>
  <c r="AA16" i="14"/>
  <c r="Y16" i="14"/>
  <c r="AH16" i="14" s="1"/>
  <c r="AJ16" i="14" s="1"/>
  <c r="T16" i="14"/>
  <c r="O16" i="14"/>
  <c r="M16" i="14"/>
  <c r="J16" i="14"/>
  <c r="I16" i="14"/>
  <c r="C16" i="14"/>
  <c r="AI15" i="14"/>
  <c r="AH15" i="14"/>
  <c r="AJ15" i="14" s="1"/>
  <c r="AE15" i="14"/>
  <c r="AA15" i="14"/>
  <c r="Y15" i="14"/>
  <c r="T15" i="14"/>
  <c r="O15" i="14"/>
  <c r="M15" i="14"/>
  <c r="J15" i="14"/>
  <c r="U15" i="14" s="1"/>
  <c r="AK15" i="14" s="1"/>
  <c r="AL15" i="14" s="1"/>
  <c r="I15" i="14"/>
  <c r="C15" i="14"/>
  <c r="AH14" i="14"/>
  <c r="AE14" i="14"/>
  <c r="AA14" i="14"/>
  <c r="Y14" i="14"/>
  <c r="T14" i="14"/>
  <c r="O14" i="14"/>
  <c r="M14" i="14"/>
  <c r="J14" i="14"/>
  <c r="U14" i="14" s="1"/>
  <c r="I14" i="14"/>
  <c r="AI14" i="14" s="1"/>
  <c r="C14" i="14"/>
  <c r="AH13" i="14"/>
  <c r="AE13" i="14"/>
  <c r="AA13" i="14"/>
  <c r="Y13" i="14"/>
  <c r="T13" i="14"/>
  <c r="O13" i="14"/>
  <c r="M13" i="14"/>
  <c r="J13" i="14"/>
  <c r="I13" i="14"/>
  <c r="AI13" i="14" s="1"/>
  <c r="AJ13" i="14" s="1"/>
  <c r="C13" i="14"/>
  <c r="AI12" i="14"/>
  <c r="AE12" i="14"/>
  <c r="AA12" i="14"/>
  <c r="Y12" i="14"/>
  <c r="AH12" i="14" s="1"/>
  <c r="AJ12" i="14" s="1"/>
  <c r="T12" i="14"/>
  <c r="O12" i="14"/>
  <c r="M12" i="14"/>
  <c r="J12" i="14"/>
  <c r="I12" i="14"/>
  <c r="C12" i="14"/>
  <c r="AI11" i="14"/>
  <c r="AE11" i="14"/>
  <c r="AA11" i="14"/>
  <c r="Y11" i="14"/>
  <c r="AH11" i="14" s="1"/>
  <c r="AJ11" i="14" s="1"/>
  <c r="T11" i="14"/>
  <c r="O11" i="14"/>
  <c r="M11" i="14"/>
  <c r="J11" i="14"/>
  <c r="U11" i="14" s="1"/>
  <c r="AK11" i="14" s="1"/>
  <c r="I11" i="14"/>
  <c r="C11" i="14"/>
  <c r="AH10" i="14"/>
  <c r="AJ10" i="14" s="1"/>
  <c r="AE10" i="14"/>
  <c r="AA10" i="14"/>
  <c r="Y10" i="14"/>
  <c r="T10" i="14"/>
  <c r="O10" i="14"/>
  <c r="M10" i="14"/>
  <c r="J10" i="14"/>
  <c r="U10" i="14" s="1"/>
  <c r="AK10" i="14" s="1"/>
  <c r="I10" i="14"/>
  <c r="AI10" i="14" s="1"/>
  <c r="C10" i="14"/>
  <c r="AJ9" i="14"/>
  <c r="AH9" i="14"/>
  <c r="AE9" i="14"/>
  <c r="AA9" i="14"/>
  <c r="Y9" i="14"/>
  <c r="T9" i="14"/>
  <c r="O9" i="14"/>
  <c r="M9" i="14"/>
  <c r="J9" i="14"/>
  <c r="U9" i="14" s="1"/>
  <c r="AK9" i="14" s="1"/>
  <c r="I9" i="14"/>
  <c r="AI9" i="14" s="1"/>
  <c r="C9" i="14"/>
  <c r="AI8" i="14"/>
  <c r="AE8" i="14"/>
  <c r="AA8" i="14"/>
  <c r="Y8" i="14"/>
  <c r="AH8" i="14" s="1"/>
  <c r="AJ8" i="14" s="1"/>
  <c r="AL8" i="14" s="1"/>
  <c r="T8" i="14"/>
  <c r="O8" i="14"/>
  <c r="M8" i="14"/>
  <c r="J8" i="14"/>
  <c r="U8" i="14" s="1"/>
  <c r="AK8" i="14" s="1"/>
  <c r="I8" i="14"/>
  <c r="C8" i="14"/>
  <c r="AI7" i="14"/>
  <c r="AH7" i="14"/>
  <c r="AJ7" i="14" s="1"/>
  <c r="AE7" i="14"/>
  <c r="AA7" i="14"/>
  <c r="Y7" i="14"/>
  <c r="T7" i="14"/>
  <c r="O7" i="14"/>
  <c r="M7" i="14"/>
  <c r="J7" i="14"/>
  <c r="U7" i="14" s="1"/>
  <c r="AK7" i="14" s="1"/>
  <c r="I7" i="14"/>
  <c r="C7" i="14"/>
  <c r="AH6" i="14"/>
  <c r="AE6" i="14"/>
  <c r="AA6" i="14"/>
  <c r="Y6" i="14"/>
  <c r="T6" i="14"/>
  <c r="O6" i="14"/>
  <c r="M6" i="14"/>
  <c r="J6" i="14"/>
  <c r="U6" i="14" s="1"/>
  <c r="AK6" i="14" s="1"/>
  <c r="I6" i="14"/>
  <c r="AI6" i="14" s="1"/>
  <c r="C6" i="14"/>
  <c r="AH5" i="14"/>
  <c r="AE5" i="14"/>
  <c r="AA5" i="14"/>
  <c r="Y5" i="14"/>
  <c r="T5" i="14"/>
  <c r="O5" i="14"/>
  <c r="M5" i="14"/>
  <c r="J5" i="14"/>
  <c r="I5" i="14"/>
  <c r="AI5" i="14" s="1"/>
  <c r="AJ5" i="14" s="1"/>
  <c r="C5" i="14"/>
  <c r="AI4" i="14"/>
  <c r="AE4" i="14"/>
  <c r="AA4" i="14"/>
  <c r="Y4" i="14"/>
  <c r="AH4" i="14" s="1"/>
  <c r="AJ4" i="14" s="1"/>
  <c r="AL4" i="14" s="1"/>
  <c r="T4" i="14"/>
  <c r="O4" i="14"/>
  <c r="M4" i="14"/>
  <c r="J4" i="14"/>
  <c r="U4" i="14" s="1"/>
  <c r="AK4" i="14" s="1"/>
  <c r="I4" i="14"/>
  <c r="C4" i="14"/>
  <c r="AI3" i="14"/>
  <c r="AE3" i="14"/>
  <c r="AA3" i="14"/>
  <c r="Y3" i="14"/>
  <c r="AH3" i="14" s="1"/>
  <c r="T3" i="14"/>
  <c r="O3" i="14"/>
  <c r="M3" i="14"/>
  <c r="J3" i="14"/>
  <c r="I3" i="14"/>
  <c r="C3" i="14"/>
  <c r="AH33" i="13"/>
  <c r="AE33" i="13"/>
  <c r="AA33" i="13"/>
  <c r="Y33" i="13"/>
  <c r="T33" i="13"/>
  <c r="O33" i="13"/>
  <c r="M33" i="13"/>
  <c r="J33" i="13"/>
  <c r="U33" i="13" s="1"/>
  <c r="AK33" i="13" s="1"/>
  <c r="I33" i="13"/>
  <c r="AI33" i="13" s="1"/>
  <c r="C33" i="13"/>
  <c r="AH32" i="13"/>
  <c r="AE32" i="13"/>
  <c r="AA32" i="13"/>
  <c r="Y32" i="13"/>
  <c r="T32" i="13"/>
  <c r="O32" i="13"/>
  <c r="M32" i="13"/>
  <c r="J32" i="13"/>
  <c r="I32" i="13"/>
  <c r="AI32" i="13" s="1"/>
  <c r="AJ32" i="13" s="1"/>
  <c r="C32" i="13"/>
  <c r="AI31" i="13"/>
  <c r="AE31" i="13"/>
  <c r="AA31" i="13"/>
  <c r="Y31" i="13"/>
  <c r="AH31" i="13" s="1"/>
  <c r="AJ31" i="13" s="1"/>
  <c r="T31" i="13"/>
  <c r="O31" i="13"/>
  <c r="M31" i="13"/>
  <c r="J31" i="13"/>
  <c r="I31" i="13"/>
  <c r="C31" i="13"/>
  <c r="AI30" i="13"/>
  <c r="AE30" i="13"/>
  <c r="AA30" i="13"/>
  <c r="Y30" i="13"/>
  <c r="AH30" i="13" s="1"/>
  <c r="AJ30" i="13" s="1"/>
  <c r="AL30" i="13" s="1"/>
  <c r="T30" i="13"/>
  <c r="O30" i="13"/>
  <c r="M30" i="13"/>
  <c r="J30" i="13"/>
  <c r="U30" i="13" s="1"/>
  <c r="AK30" i="13" s="1"/>
  <c r="I30" i="13"/>
  <c r="C30" i="13"/>
  <c r="AH29" i="13"/>
  <c r="AE29" i="13"/>
  <c r="AA29" i="13"/>
  <c r="Y29" i="13"/>
  <c r="T29" i="13"/>
  <c r="O29" i="13"/>
  <c r="M29" i="13"/>
  <c r="J29" i="13"/>
  <c r="I29" i="13"/>
  <c r="AI29" i="13" s="1"/>
  <c r="C29" i="13"/>
  <c r="AH28" i="13"/>
  <c r="AE28" i="13"/>
  <c r="AA28" i="13"/>
  <c r="Y28" i="13"/>
  <c r="T28" i="13"/>
  <c r="O28" i="13"/>
  <c r="M28" i="13"/>
  <c r="J28" i="13"/>
  <c r="I28" i="13"/>
  <c r="AI28" i="13" s="1"/>
  <c r="AJ28" i="13" s="1"/>
  <c r="C28" i="13"/>
  <c r="AI27" i="13"/>
  <c r="AE27" i="13"/>
  <c r="AA27" i="13"/>
  <c r="Y27" i="13"/>
  <c r="AH27" i="13" s="1"/>
  <c r="AJ27" i="13" s="1"/>
  <c r="T27" i="13"/>
  <c r="O27" i="13"/>
  <c r="M27" i="13"/>
  <c r="J27" i="13"/>
  <c r="I27" i="13"/>
  <c r="C27" i="13"/>
  <c r="AI26" i="13"/>
  <c r="AH26" i="13"/>
  <c r="AJ26" i="13" s="1"/>
  <c r="AE26" i="13"/>
  <c r="AA26" i="13"/>
  <c r="Y26" i="13"/>
  <c r="T26" i="13"/>
  <c r="O26" i="13"/>
  <c r="M26" i="13"/>
  <c r="J26" i="13"/>
  <c r="U26" i="13" s="1"/>
  <c r="AK26" i="13" s="1"/>
  <c r="I26" i="13"/>
  <c r="C26" i="13"/>
  <c r="AH25" i="13"/>
  <c r="AJ25" i="13" s="1"/>
  <c r="AE25" i="13"/>
  <c r="AA25" i="13"/>
  <c r="Y25" i="13"/>
  <c r="T25" i="13"/>
  <c r="O25" i="13"/>
  <c r="M25" i="13"/>
  <c r="J25" i="13"/>
  <c r="U25" i="13" s="1"/>
  <c r="AK25" i="13" s="1"/>
  <c r="I25" i="13"/>
  <c r="AI25" i="13" s="1"/>
  <c r="C25" i="13"/>
  <c r="AJ24" i="13"/>
  <c r="AH24" i="13"/>
  <c r="AE24" i="13"/>
  <c r="AA24" i="13"/>
  <c r="Y24" i="13"/>
  <c r="T24" i="13"/>
  <c r="O24" i="13"/>
  <c r="M24" i="13"/>
  <c r="J24" i="13"/>
  <c r="U24" i="13" s="1"/>
  <c r="AK24" i="13" s="1"/>
  <c r="I24" i="13"/>
  <c r="AI24" i="13" s="1"/>
  <c r="C24" i="13"/>
  <c r="AE23" i="13"/>
  <c r="AA23" i="13"/>
  <c r="Y23" i="13"/>
  <c r="AH23" i="13" s="1"/>
  <c r="AJ23" i="13" s="1"/>
  <c r="AL23" i="13" s="1"/>
  <c r="T23" i="13"/>
  <c r="O23" i="13"/>
  <c r="M23" i="13"/>
  <c r="J23" i="13"/>
  <c r="U23" i="13" s="1"/>
  <c r="AK23" i="13" s="1"/>
  <c r="I23" i="13"/>
  <c r="AI23" i="13" s="1"/>
  <c r="C23" i="13"/>
  <c r="AE22" i="13"/>
  <c r="AA22" i="13"/>
  <c r="Y22" i="13"/>
  <c r="AH22" i="13" s="1"/>
  <c r="T22" i="13"/>
  <c r="M22" i="13"/>
  <c r="J22" i="13"/>
  <c r="I22" i="13"/>
  <c r="AI22" i="13" s="1"/>
  <c r="C22" i="13"/>
  <c r="AH21" i="13"/>
  <c r="AE21" i="13"/>
  <c r="AA21" i="13"/>
  <c r="Y21" i="13"/>
  <c r="T21" i="13"/>
  <c r="O21" i="13"/>
  <c r="M21" i="13"/>
  <c r="J21" i="13"/>
  <c r="U21" i="13" s="1"/>
  <c r="I21" i="13"/>
  <c r="AI21" i="13" s="1"/>
  <c r="C21" i="13"/>
  <c r="AE20" i="13"/>
  <c r="AA20" i="13"/>
  <c r="Y20" i="13"/>
  <c r="AH20" i="13" s="1"/>
  <c r="T20" i="13"/>
  <c r="O20" i="13"/>
  <c r="M20" i="13"/>
  <c r="J20" i="13"/>
  <c r="I20" i="13"/>
  <c r="AI20" i="13" s="1"/>
  <c r="C20" i="13"/>
  <c r="AI19" i="13"/>
  <c r="AE19" i="13"/>
  <c r="AA19" i="13"/>
  <c r="Y19" i="13"/>
  <c r="AH19" i="13" s="1"/>
  <c r="AJ19" i="13" s="1"/>
  <c r="T19" i="13"/>
  <c r="O19" i="13"/>
  <c r="M19" i="13"/>
  <c r="J19" i="13"/>
  <c r="U19" i="13" s="1"/>
  <c r="AK19" i="13" s="1"/>
  <c r="I19" i="13"/>
  <c r="C19" i="13"/>
  <c r="AH18" i="13"/>
  <c r="AE18" i="13"/>
  <c r="AA18" i="13"/>
  <c r="Y18" i="13"/>
  <c r="T18" i="13"/>
  <c r="O18" i="13"/>
  <c r="M18" i="13"/>
  <c r="J18" i="13"/>
  <c r="I18" i="13"/>
  <c r="AI18" i="13" s="1"/>
  <c r="C18" i="13"/>
  <c r="AJ17" i="13"/>
  <c r="AH17" i="13"/>
  <c r="AE17" i="13"/>
  <c r="AA17" i="13"/>
  <c r="Y17" i="13"/>
  <c r="T17" i="13"/>
  <c r="O17" i="13"/>
  <c r="M17" i="13"/>
  <c r="J17" i="13"/>
  <c r="U17" i="13" s="1"/>
  <c r="AK17" i="13" s="1"/>
  <c r="I17" i="13"/>
  <c r="AI17" i="13" s="1"/>
  <c r="C17" i="13"/>
  <c r="AE16" i="13"/>
  <c r="AA16" i="13"/>
  <c r="Y16" i="13"/>
  <c r="AH16" i="13" s="1"/>
  <c r="AJ16" i="13" s="1"/>
  <c r="T16" i="13"/>
  <c r="O16" i="13"/>
  <c r="M16" i="13"/>
  <c r="J16" i="13"/>
  <c r="I16" i="13"/>
  <c r="AI16" i="13" s="1"/>
  <c r="C16" i="13"/>
  <c r="AI15" i="13"/>
  <c r="AH15" i="13"/>
  <c r="AJ15" i="13" s="1"/>
  <c r="AE15" i="13"/>
  <c r="AA15" i="13"/>
  <c r="Y15" i="13"/>
  <c r="T15" i="13"/>
  <c r="O15" i="13"/>
  <c r="M15" i="13"/>
  <c r="J15" i="13"/>
  <c r="U15" i="13" s="1"/>
  <c r="AK15" i="13" s="1"/>
  <c r="AL15" i="13" s="1"/>
  <c r="I15" i="13"/>
  <c r="C15" i="13"/>
  <c r="AI14" i="13"/>
  <c r="AE14" i="13"/>
  <c r="AA14" i="13"/>
  <c r="Y14" i="13"/>
  <c r="AH14" i="13" s="1"/>
  <c r="AJ14" i="13" s="1"/>
  <c r="T14" i="13"/>
  <c r="O14" i="13"/>
  <c r="M14" i="13"/>
  <c r="J14" i="13"/>
  <c r="U14" i="13" s="1"/>
  <c r="AK14" i="13" s="1"/>
  <c r="I14" i="13"/>
  <c r="C14" i="13"/>
  <c r="AH13" i="13"/>
  <c r="AE13" i="13"/>
  <c r="AA13" i="13"/>
  <c r="Y13" i="13"/>
  <c r="T13" i="13"/>
  <c r="O13" i="13"/>
  <c r="M13" i="13"/>
  <c r="J13" i="13"/>
  <c r="I13" i="13"/>
  <c r="AI13" i="13" s="1"/>
  <c r="C13" i="13"/>
  <c r="AE12" i="13"/>
  <c r="AA12" i="13"/>
  <c r="Y12" i="13"/>
  <c r="AH12" i="13" s="1"/>
  <c r="T12" i="13"/>
  <c r="O12" i="13"/>
  <c r="M12" i="13"/>
  <c r="J12" i="13"/>
  <c r="I12" i="13"/>
  <c r="AI12" i="13" s="1"/>
  <c r="C12" i="13"/>
  <c r="AI11" i="13"/>
  <c r="AE11" i="13"/>
  <c r="AA11" i="13"/>
  <c r="Y11" i="13"/>
  <c r="AH11" i="13" s="1"/>
  <c r="T11" i="13"/>
  <c r="O11" i="13"/>
  <c r="M11" i="13"/>
  <c r="J11" i="13"/>
  <c r="I11" i="13"/>
  <c r="C11" i="13"/>
  <c r="AH10" i="13"/>
  <c r="AE10" i="13"/>
  <c r="AA10" i="13"/>
  <c r="Y10" i="13"/>
  <c r="T10" i="13"/>
  <c r="O10" i="13"/>
  <c r="M10" i="13"/>
  <c r="J10" i="13"/>
  <c r="U10" i="13" s="1"/>
  <c r="I10" i="13"/>
  <c r="AI10" i="13" s="1"/>
  <c r="C10" i="13"/>
  <c r="AJ9" i="13"/>
  <c r="AH9" i="13"/>
  <c r="AE9" i="13"/>
  <c r="AA9" i="13"/>
  <c r="Y9" i="13"/>
  <c r="T9" i="13"/>
  <c r="O9" i="13"/>
  <c r="M9" i="13"/>
  <c r="J9" i="13"/>
  <c r="U9" i="13" s="1"/>
  <c r="AK9" i="13" s="1"/>
  <c r="I9" i="13"/>
  <c r="AI9" i="13" s="1"/>
  <c r="C9" i="13"/>
  <c r="AH8" i="13"/>
  <c r="AE8" i="13"/>
  <c r="AA8" i="13"/>
  <c r="Y8" i="13"/>
  <c r="T8" i="13"/>
  <c r="O8" i="13"/>
  <c r="M8" i="13"/>
  <c r="J8" i="13"/>
  <c r="U8" i="13" s="1"/>
  <c r="AK8" i="13" s="1"/>
  <c r="I8" i="13"/>
  <c r="AI8" i="13" s="1"/>
  <c r="C8" i="13"/>
  <c r="AH7" i="13"/>
  <c r="AE7" i="13"/>
  <c r="AA7" i="13"/>
  <c r="Y7" i="13"/>
  <c r="T7" i="13"/>
  <c r="O7" i="13"/>
  <c r="M7" i="13"/>
  <c r="J7" i="13"/>
  <c r="I7" i="13"/>
  <c r="AI7" i="13" s="1"/>
  <c r="AJ7" i="13" s="1"/>
  <c r="AI6" i="13"/>
  <c r="AH6" i="13"/>
  <c r="AJ6" i="13" s="1"/>
  <c r="AE6" i="13"/>
  <c r="AA6" i="13"/>
  <c r="Y6" i="13"/>
  <c r="T6" i="13"/>
  <c r="O6" i="13"/>
  <c r="M6" i="13"/>
  <c r="J6" i="13"/>
  <c r="U6" i="13" s="1"/>
  <c r="AK6" i="13" s="1"/>
  <c r="AL6" i="13" s="1"/>
  <c r="I6" i="13"/>
  <c r="AE5" i="13"/>
  <c r="AA5" i="13"/>
  <c r="Y5" i="13"/>
  <c r="AH5" i="13" s="1"/>
  <c r="AJ5" i="13" s="1"/>
  <c r="T5" i="13"/>
  <c r="O5" i="13"/>
  <c r="M5" i="13"/>
  <c r="J5" i="13"/>
  <c r="U5" i="13" s="1"/>
  <c r="AK5" i="13" s="1"/>
  <c r="I5" i="13"/>
  <c r="AI5" i="13" s="1"/>
  <c r="AI4" i="13"/>
  <c r="AH4" i="13"/>
  <c r="AJ4" i="13" s="1"/>
  <c r="AE4" i="13"/>
  <c r="AA4" i="13"/>
  <c r="Y4" i="13"/>
  <c r="T4" i="13"/>
  <c r="O4" i="13"/>
  <c r="M4" i="13"/>
  <c r="J4" i="13"/>
  <c r="U4" i="13" s="1"/>
  <c r="AK4" i="13" s="1"/>
  <c r="I4" i="13"/>
  <c r="AE3" i="13"/>
  <c r="AA3" i="13"/>
  <c r="Y3" i="13"/>
  <c r="AH3" i="13" s="1"/>
  <c r="T3" i="13"/>
  <c r="O3" i="13"/>
  <c r="M3" i="13"/>
  <c r="J3" i="13"/>
  <c r="U3" i="13" s="1"/>
  <c r="I3" i="13"/>
  <c r="AI3" i="13" s="1"/>
  <c r="AJ3" i="13" s="1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J14" i="12"/>
  <c r="AI13" i="12"/>
  <c r="AH13" i="12"/>
  <c r="J13" i="12"/>
  <c r="AI12" i="12"/>
  <c r="AH12" i="12"/>
  <c r="J12" i="12"/>
  <c r="AI11" i="12"/>
  <c r="AE11" i="12"/>
  <c r="AA11" i="12"/>
  <c r="Y11" i="12"/>
  <c r="AH11" i="12" s="1"/>
  <c r="T11" i="12"/>
  <c r="O11" i="12"/>
  <c r="M11" i="12"/>
  <c r="J11" i="12"/>
  <c r="I11" i="12"/>
  <c r="AE10" i="12"/>
  <c r="AA10" i="12"/>
  <c r="Y10" i="12"/>
  <c r="AH10" i="12" s="1"/>
  <c r="AJ10" i="12" s="1"/>
  <c r="T10" i="12"/>
  <c r="O10" i="12"/>
  <c r="M10" i="12"/>
  <c r="J10" i="12"/>
  <c r="U10" i="12" s="1"/>
  <c r="AK10" i="12" s="1"/>
  <c r="I10" i="12"/>
  <c r="AI10" i="12" s="1"/>
  <c r="AI9" i="12"/>
  <c r="AE9" i="12"/>
  <c r="AA9" i="12"/>
  <c r="Y9" i="12"/>
  <c r="AH9" i="12" s="1"/>
  <c r="T9" i="12"/>
  <c r="O9" i="12"/>
  <c r="M9" i="12"/>
  <c r="J9" i="12"/>
  <c r="I9" i="12"/>
  <c r="AE8" i="12"/>
  <c r="AA8" i="12"/>
  <c r="Y8" i="12"/>
  <c r="AH8" i="12" s="1"/>
  <c r="AJ8" i="12" s="1"/>
  <c r="T8" i="12"/>
  <c r="O8" i="12"/>
  <c r="M8" i="12"/>
  <c r="J8" i="12"/>
  <c r="U8" i="12" s="1"/>
  <c r="I8" i="12"/>
  <c r="AI8" i="12" s="1"/>
  <c r="AI7" i="12"/>
  <c r="AE7" i="12"/>
  <c r="AA7" i="12"/>
  <c r="Y7" i="12"/>
  <c r="AH7" i="12" s="1"/>
  <c r="T7" i="12"/>
  <c r="O7" i="12"/>
  <c r="M7" i="12"/>
  <c r="J7" i="12"/>
  <c r="I7" i="12"/>
  <c r="AE6" i="12"/>
  <c r="AA6" i="12"/>
  <c r="Y6" i="12"/>
  <c r="AH6" i="12" s="1"/>
  <c r="AJ6" i="12" s="1"/>
  <c r="T6" i="12"/>
  <c r="O6" i="12"/>
  <c r="M6" i="12"/>
  <c r="J6" i="12"/>
  <c r="U6" i="12" s="1"/>
  <c r="AK6" i="12" s="1"/>
  <c r="I6" i="12"/>
  <c r="AI6" i="12" s="1"/>
  <c r="AI5" i="12"/>
  <c r="AE5" i="12"/>
  <c r="AA5" i="12"/>
  <c r="Y5" i="12"/>
  <c r="AH5" i="12" s="1"/>
  <c r="T5" i="12"/>
  <c r="O5" i="12"/>
  <c r="M5" i="12"/>
  <c r="J5" i="12"/>
  <c r="I5" i="12"/>
  <c r="AE4" i="12"/>
  <c r="AA4" i="12"/>
  <c r="Y4" i="12"/>
  <c r="AH4" i="12" s="1"/>
  <c r="AJ4" i="12" s="1"/>
  <c r="T4" i="12"/>
  <c r="O4" i="12"/>
  <c r="M4" i="12"/>
  <c r="J4" i="12"/>
  <c r="U4" i="12" s="1"/>
  <c r="AK4" i="12" s="1"/>
  <c r="I4" i="12"/>
  <c r="AI4" i="12" s="1"/>
  <c r="AI3" i="12"/>
  <c r="AE3" i="12"/>
  <c r="AA3" i="12"/>
  <c r="Y3" i="12"/>
  <c r="AH3" i="12" s="1"/>
  <c r="T3" i="12"/>
  <c r="O3" i="12"/>
  <c r="M3" i="12"/>
  <c r="J3" i="12"/>
  <c r="I3" i="12"/>
  <c r="AI26" i="11"/>
  <c r="AH26" i="11"/>
  <c r="Y26" i="11"/>
  <c r="AJ25" i="11"/>
  <c r="AH25" i="11"/>
  <c r="AE25" i="11"/>
  <c r="AA25" i="11"/>
  <c r="Y25" i="11"/>
  <c r="T25" i="11"/>
  <c r="O25" i="11"/>
  <c r="M25" i="11"/>
  <c r="J25" i="11"/>
  <c r="U25" i="11" s="1"/>
  <c r="AK25" i="11" s="1"/>
  <c r="I25" i="11"/>
  <c r="AI25" i="11" s="1"/>
  <c r="AI24" i="11"/>
  <c r="AH24" i="11"/>
  <c r="AJ24" i="11" s="1"/>
  <c r="AE24" i="11"/>
  <c r="AA24" i="11"/>
  <c r="Y24" i="11"/>
  <c r="T24" i="11"/>
  <c r="O24" i="11"/>
  <c r="M24" i="11"/>
  <c r="J24" i="11"/>
  <c r="U24" i="11" s="1"/>
  <c r="AK24" i="11" s="1"/>
  <c r="I24" i="11"/>
  <c r="AJ23" i="11"/>
  <c r="AH23" i="11"/>
  <c r="AE23" i="11"/>
  <c r="AA23" i="11"/>
  <c r="Y23" i="11"/>
  <c r="T23" i="11"/>
  <c r="O23" i="11"/>
  <c r="M23" i="11"/>
  <c r="J23" i="11"/>
  <c r="I23" i="11"/>
  <c r="AI23" i="11" s="1"/>
  <c r="AL22" i="11"/>
  <c r="AI22" i="11"/>
  <c r="AH22" i="11"/>
  <c r="AJ22" i="11" s="1"/>
  <c r="AE22" i="11"/>
  <c r="AA22" i="11"/>
  <c r="Y22" i="11"/>
  <c r="T22" i="11"/>
  <c r="O22" i="11"/>
  <c r="M22" i="11"/>
  <c r="J22" i="11"/>
  <c r="U22" i="11" s="1"/>
  <c r="AK22" i="11" s="1"/>
  <c r="I22" i="11"/>
  <c r="AJ21" i="11"/>
  <c r="AH21" i="11"/>
  <c r="AE21" i="11"/>
  <c r="AA21" i="11"/>
  <c r="Y21" i="11"/>
  <c r="T21" i="11"/>
  <c r="O21" i="11"/>
  <c r="M21" i="11"/>
  <c r="J21" i="11"/>
  <c r="U21" i="11" s="1"/>
  <c r="AK21" i="11" s="1"/>
  <c r="I21" i="11"/>
  <c r="AI21" i="11" s="1"/>
  <c r="AI20" i="11"/>
  <c r="AH20" i="11"/>
  <c r="AJ20" i="11" s="1"/>
  <c r="AE20" i="11"/>
  <c r="AA20" i="11"/>
  <c r="Y20" i="11"/>
  <c r="T20" i="11"/>
  <c r="O20" i="11"/>
  <c r="M20" i="11"/>
  <c r="J20" i="11"/>
  <c r="U20" i="11" s="1"/>
  <c r="AK20" i="11" s="1"/>
  <c r="I20" i="11"/>
  <c r="AJ19" i="11"/>
  <c r="AH19" i="11"/>
  <c r="AE19" i="11"/>
  <c r="AA19" i="11"/>
  <c r="Y19" i="11"/>
  <c r="T19" i="11"/>
  <c r="O19" i="11"/>
  <c r="M19" i="11"/>
  <c r="J19" i="11"/>
  <c r="I19" i="11"/>
  <c r="AI19" i="11" s="1"/>
  <c r="AL18" i="11"/>
  <c r="AI18" i="11"/>
  <c r="AH18" i="11"/>
  <c r="AJ18" i="11" s="1"/>
  <c r="AE18" i="11"/>
  <c r="AA18" i="11"/>
  <c r="Y18" i="11"/>
  <c r="T18" i="11"/>
  <c r="O18" i="11"/>
  <c r="M18" i="11"/>
  <c r="J18" i="11"/>
  <c r="U18" i="11" s="1"/>
  <c r="AK18" i="11" s="1"/>
  <c r="I18" i="11"/>
  <c r="AH17" i="11"/>
  <c r="AJ17" i="11" s="1"/>
  <c r="AE17" i="11"/>
  <c r="AA17" i="11"/>
  <c r="Y17" i="11"/>
  <c r="T17" i="11"/>
  <c r="O17" i="11"/>
  <c r="M17" i="11"/>
  <c r="J17" i="11"/>
  <c r="I17" i="11"/>
  <c r="AI17" i="11" s="1"/>
  <c r="AE16" i="11"/>
  <c r="AA16" i="11"/>
  <c r="Y16" i="11"/>
  <c r="AH16" i="11" s="1"/>
  <c r="AJ16" i="11" s="1"/>
  <c r="T16" i="11"/>
  <c r="O16" i="11"/>
  <c r="M16" i="11"/>
  <c r="J16" i="11"/>
  <c r="U16" i="11" s="1"/>
  <c r="AK16" i="11" s="1"/>
  <c r="I16" i="11"/>
  <c r="AI16" i="11" s="1"/>
  <c r="AI15" i="11"/>
  <c r="AE15" i="11"/>
  <c r="AA15" i="11"/>
  <c r="Y15" i="11"/>
  <c r="AH15" i="11" s="1"/>
  <c r="AJ15" i="11" s="1"/>
  <c r="T15" i="11"/>
  <c r="O15" i="11"/>
  <c r="M15" i="11"/>
  <c r="J15" i="11"/>
  <c r="I15" i="11"/>
  <c r="AE14" i="11"/>
  <c r="AA14" i="11"/>
  <c r="Y14" i="11"/>
  <c r="AH14" i="11" s="1"/>
  <c r="AJ14" i="11" s="1"/>
  <c r="T14" i="11"/>
  <c r="O14" i="11"/>
  <c r="M14" i="11"/>
  <c r="J14" i="11"/>
  <c r="U14" i="11" s="1"/>
  <c r="I14" i="11"/>
  <c r="AI14" i="11" s="1"/>
  <c r="AI13" i="11"/>
  <c r="AE13" i="11"/>
  <c r="AA13" i="11"/>
  <c r="Y13" i="11"/>
  <c r="AH13" i="11" s="1"/>
  <c r="T13" i="11"/>
  <c r="O13" i="11"/>
  <c r="M13" i="11"/>
  <c r="J13" i="11"/>
  <c r="I13" i="11"/>
  <c r="AE12" i="11"/>
  <c r="AA12" i="11"/>
  <c r="Y12" i="11"/>
  <c r="AH12" i="11" s="1"/>
  <c r="AJ12" i="11" s="1"/>
  <c r="T12" i="11"/>
  <c r="O12" i="11"/>
  <c r="M12" i="11"/>
  <c r="J12" i="11"/>
  <c r="U12" i="11" s="1"/>
  <c r="AK12" i="11" s="1"/>
  <c r="I12" i="11"/>
  <c r="AI12" i="11" s="1"/>
  <c r="AI11" i="11"/>
  <c r="AE11" i="11"/>
  <c r="AA11" i="11"/>
  <c r="Y11" i="11"/>
  <c r="AH11" i="11" s="1"/>
  <c r="AJ11" i="11" s="1"/>
  <c r="T11" i="11"/>
  <c r="O11" i="11"/>
  <c r="M11" i="11"/>
  <c r="J11" i="11"/>
  <c r="I11" i="11"/>
  <c r="AE10" i="11"/>
  <c r="AA10" i="11"/>
  <c r="Y10" i="11"/>
  <c r="AH10" i="11" s="1"/>
  <c r="AJ10" i="11" s="1"/>
  <c r="T10" i="11"/>
  <c r="O10" i="11"/>
  <c r="M10" i="11"/>
  <c r="J10" i="11"/>
  <c r="U10" i="11" s="1"/>
  <c r="AK10" i="11" s="1"/>
  <c r="I10" i="11"/>
  <c r="AI10" i="11" s="1"/>
  <c r="AI9" i="11"/>
  <c r="AE9" i="11"/>
  <c r="AA9" i="11"/>
  <c r="Y9" i="11"/>
  <c r="AH9" i="11" s="1"/>
  <c r="T9" i="11"/>
  <c r="O9" i="11"/>
  <c r="M9" i="11"/>
  <c r="U9" i="11" s="1"/>
  <c r="AK9" i="11" s="1"/>
  <c r="I9" i="11"/>
  <c r="AJ8" i="11"/>
  <c r="AH8" i="11"/>
  <c r="AE8" i="11"/>
  <c r="AA8" i="11"/>
  <c r="Y8" i="11"/>
  <c r="T8" i="11"/>
  <c r="O8" i="11"/>
  <c r="M8" i="11"/>
  <c r="J8" i="11"/>
  <c r="U8" i="11" s="1"/>
  <c r="AK8" i="11" s="1"/>
  <c r="I8" i="11"/>
  <c r="AI8" i="11" s="1"/>
  <c r="AI7" i="11"/>
  <c r="AH7" i="11"/>
  <c r="AJ7" i="11" s="1"/>
  <c r="AE7" i="11"/>
  <c r="AA7" i="11"/>
  <c r="Y7" i="11"/>
  <c r="T7" i="11"/>
  <c r="O7" i="11"/>
  <c r="M7" i="11"/>
  <c r="J7" i="11"/>
  <c r="U7" i="11" s="1"/>
  <c r="AK7" i="11" s="1"/>
  <c r="I7" i="11"/>
  <c r="AJ6" i="11"/>
  <c r="AH6" i="11"/>
  <c r="AE6" i="11"/>
  <c r="AA6" i="11"/>
  <c r="Y6" i="11"/>
  <c r="T6" i="11"/>
  <c r="O6" i="11"/>
  <c r="M6" i="11"/>
  <c r="J6" i="11"/>
  <c r="I6" i="11"/>
  <c r="AI6" i="11" s="1"/>
  <c r="AL5" i="11"/>
  <c r="AI5" i="11"/>
  <c r="AH5" i="11"/>
  <c r="AJ5" i="11" s="1"/>
  <c r="AE5" i="11"/>
  <c r="AA5" i="11"/>
  <c r="Y5" i="11"/>
  <c r="T5" i="11"/>
  <c r="O5" i="11"/>
  <c r="M5" i="11"/>
  <c r="J5" i="11"/>
  <c r="U5" i="11" s="1"/>
  <c r="AK5" i="11" s="1"/>
  <c r="I5" i="11"/>
  <c r="AJ4" i="11"/>
  <c r="AH4" i="11"/>
  <c r="AE4" i="11"/>
  <c r="AA4" i="11"/>
  <c r="Y4" i="11"/>
  <c r="T4" i="11"/>
  <c r="O4" i="11"/>
  <c r="M4" i="11"/>
  <c r="J4" i="11"/>
  <c r="U4" i="11" s="1"/>
  <c r="AK4" i="11" s="1"/>
  <c r="I4" i="11"/>
  <c r="AI4" i="11" s="1"/>
  <c r="AH3" i="11"/>
  <c r="AE3" i="11"/>
  <c r="AA3" i="11"/>
  <c r="Y3" i="11"/>
  <c r="T3" i="11"/>
  <c r="O3" i="11"/>
  <c r="M3" i="11"/>
  <c r="J3" i="11"/>
  <c r="U3" i="11" s="1"/>
  <c r="AK3" i="11" s="1"/>
  <c r="I3" i="11"/>
  <c r="AI3" i="11" s="1"/>
  <c r="AI29" i="10"/>
  <c r="Y29" i="10"/>
  <c r="AH29" i="10" s="1"/>
  <c r="AI28" i="10"/>
  <c r="AE28" i="10"/>
  <c r="AA28" i="10"/>
  <c r="Y28" i="10"/>
  <c r="AH28" i="10" s="1"/>
  <c r="AJ28" i="10" s="1"/>
  <c r="T28" i="10"/>
  <c r="O28" i="10"/>
  <c r="M28" i="10"/>
  <c r="J28" i="10"/>
  <c r="I28" i="10"/>
  <c r="AE27" i="10"/>
  <c r="AA27" i="10"/>
  <c r="Y27" i="10"/>
  <c r="AH27" i="10" s="1"/>
  <c r="T27" i="10"/>
  <c r="O27" i="10"/>
  <c r="M27" i="10"/>
  <c r="J27" i="10"/>
  <c r="I27" i="10"/>
  <c r="AI27" i="10" s="1"/>
  <c r="AI26" i="10"/>
  <c r="AE26" i="10"/>
  <c r="AA26" i="10"/>
  <c r="Y26" i="10"/>
  <c r="AH26" i="10" s="1"/>
  <c r="AJ26" i="10" s="1"/>
  <c r="T26" i="10"/>
  <c r="O26" i="10"/>
  <c r="M26" i="10"/>
  <c r="J26" i="10"/>
  <c r="U26" i="10" s="1"/>
  <c r="AK26" i="10" s="1"/>
  <c r="I26" i="10"/>
  <c r="AE25" i="10"/>
  <c r="AA25" i="10"/>
  <c r="Y25" i="10"/>
  <c r="AH25" i="10" s="1"/>
  <c r="AJ25" i="10" s="1"/>
  <c r="T25" i="10"/>
  <c r="O25" i="10"/>
  <c r="M25" i="10"/>
  <c r="J25" i="10"/>
  <c r="U25" i="10" s="1"/>
  <c r="AK25" i="10" s="1"/>
  <c r="I25" i="10"/>
  <c r="AI25" i="10" s="1"/>
  <c r="AI24" i="10"/>
  <c r="AE24" i="10"/>
  <c r="AA24" i="10"/>
  <c r="Y24" i="10"/>
  <c r="AH24" i="10" s="1"/>
  <c r="AJ24" i="10" s="1"/>
  <c r="T24" i="10"/>
  <c r="O24" i="10"/>
  <c r="M24" i="10"/>
  <c r="J24" i="10"/>
  <c r="I24" i="10"/>
  <c r="AE23" i="10"/>
  <c r="AA23" i="10"/>
  <c r="Y23" i="10"/>
  <c r="AH23" i="10" s="1"/>
  <c r="T23" i="10"/>
  <c r="O23" i="10"/>
  <c r="M23" i="10"/>
  <c r="J23" i="10"/>
  <c r="I23" i="10"/>
  <c r="AI23" i="10" s="1"/>
  <c r="AI22" i="10"/>
  <c r="AE22" i="10"/>
  <c r="AA22" i="10"/>
  <c r="Y22" i="10"/>
  <c r="AH22" i="10" s="1"/>
  <c r="AJ22" i="10" s="1"/>
  <c r="T22" i="10"/>
  <c r="O22" i="10"/>
  <c r="M22" i="10"/>
  <c r="J22" i="10"/>
  <c r="U22" i="10" s="1"/>
  <c r="AK22" i="10" s="1"/>
  <c r="I22" i="10"/>
  <c r="AH21" i="10"/>
  <c r="AE21" i="10"/>
  <c r="AA21" i="10"/>
  <c r="Y21" i="10"/>
  <c r="T21" i="10"/>
  <c r="O21" i="10"/>
  <c r="M21" i="10"/>
  <c r="J21" i="10"/>
  <c r="U21" i="10" s="1"/>
  <c r="I21" i="10"/>
  <c r="AI21" i="10" s="1"/>
  <c r="AI20" i="10"/>
  <c r="AE20" i="10"/>
  <c r="AA20" i="10"/>
  <c r="Y20" i="10"/>
  <c r="AH20" i="10" s="1"/>
  <c r="T20" i="10"/>
  <c r="O20" i="10"/>
  <c r="M20" i="10"/>
  <c r="J20" i="10"/>
  <c r="I20" i="10"/>
  <c r="AH19" i="10"/>
  <c r="AE19" i="10"/>
  <c r="AA19" i="10"/>
  <c r="Y19" i="10"/>
  <c r="T19" i="10"/>
  <c r="O19" i="10"/>
  <c r="M19" i="10"/>
  <c r="J19" i="10"/>
  <c r="U19" i="10" s="1"/>
  <c r="AK19" i="10" s="1"/>
  <c r="I19" i="10"/>
  <c r="AI19" i="10" s="1"/>
  <c r="AI18" i="10"/>
  <c r="AE18" i="10"/>
  <c r="AA18" i="10"/>
  <c r="Y18" i="10"/>
  <c r="AH18" i="10" s="1"/>
  <c r="AJ18" i="10" s="1"/>
  <c r="T18" i="10"/>
  <c r="O18" i="10"/>
  <c r="M18" i="10"/>
  <c r="J18" i="10"/>
  <c r="I18" i="10"/>
  <c r="AH17" i="10"/>
  <c r="AE17" i="10"/>
  <c r="AA17" i="10"/>
  <c r="Y17" i="10"/>
  <c r="T17" i="10"/>
  <c r="O17" i="10"/>
  <c r="M17" i="10"/>
  <c r="J17" i="10"/>
  <c r="U17" i="10" s="1"/>
  <c r="AK17" i="10" s="1"/>
  <c r="I17" i="10"/>
  <c r="AI17" i="10" s="1"/>
  <c r="AI16" i="10"/>
  <c r="AE16" i="10"/>
  <c r="AA16" i="10"/>
  <c r="Y16" i="10"/>
  <c r="AH16" i="10" s="1"/>
  <c r="AJ16" i="10" s="1"/>
  <c r="T16" i="10"/>
  <c r="O16" i="10"/>
  <c r="M16" i="10"/>
  <c r="J16" i="10"/>
  <c r="I16" i="10"/>
  <c r="AH15" i="10"/>
  <c r="AE15" i="10"/>
  <c r="AA15" i="10"/>
  <c r="Y15" i="10"/>
  <c r="T15" i="10"/>
  <c r="O15" i="10"/>
  <c r="M15" i="10"/>
  <c r="J15" i="10"/>
  <c r="I15" i="10"/>
  <c r="AI15" i="10" s="1"/>
  <c r="AI14" i="10"/>
  <c r="AE14" i="10"/>
  <c r="AA14" i="10"/>
  <c r="Y14" i="10"/>
  <c r="AH14" i="10" s="1"/>
  <c r="AJ14" i="10" s="1"/>
  <c r="T14" i="10"/>
  <c r="O14" i="10"/>
  <c r="M14" i="10"/>
  <c r="J14" i="10"/>
  <c r="U14" i="10" s="1"/>
  <c r="AK14" i="10" s="1"/>
  <c r="I14" i="10"/>
  <c r="AH13" i="10"/>
  <c r="AE13" i="10"/>
  <c r="AA13" i="10"/>
  <c r="Y13" i="10"/>
  <c r="T13" i="10"/>
  <c r="O13" i="10"/>
  <c r="M13" i="10"/>
  <c r="J13" i="10"/>
  <c r="U13" i="10" s="1"/>
  <c r="AK13" i="10" s="1"/>
  <c r="I13" i="10"/>
  <c r="AI13" i="10" s="1"/>
  <c r="AI12" i="10"/>
  <c r="AE12" i="10"/>
  <c r="AA12" i="10"/>
  <c r="Y12" i="10"/>
  <c r="AH12" i="10" s="1"/>
  <c r="T12" i="10"/>
  <c r="O12" i="10"/>
  <c r="M12" i="10"/>
  <c r="J12" i="10"/>
  <c r="I12" i="10"/>
  <c r="AE11" i="10"/>
  <c r="AA11" i="10"/>
  <c r="Y11" i="10"/>
  <c r="AH11" i="10" s="1"/>
  <c r="AJ11" i="10" s="1"/>
  <c r="T11" i="10"/>
  <c r="O11" i="10"/>
  <c r="M11" i="10"/>
  <c r="J11" i="10"/>
  <c r="U11" i="10" s="1"/>
  <c r="AK11" i="10" s="1"/>
  <c r="I11" i="10"/>
  <c r="AI11" i="10" s="1"/>
  <c r="AI10" i="10"/>
  <c r="AE10" i="10"/>
  <c r="AA10" i="10"/>
  <c r="Y10" i="10"/>
  <c r="AH10" i="10" s="1"/>
  <c r="AJ10" i="10" s="1"/>
  <c r="T10" i="10"/>
  <c r="O10" i="10"/>
  <c r="M10" i="10"/>
  <c r="J10" i="10"/>
  <c r="U10" i="10" s="1"/>
  <c r="AK10" i="10" s="1"/>
  <c r="I10" i="10"/>
  <c r="AE9" i="10"/>
  <c r="AA9" i="10"/>
  <c r="Y9" i="10"/>
  <c r="AH9" i="10" s="1"/>
  <c r="T9" i="10"/>
  <c r="O9" i="10"/>
  <c r="M9" i="10"/>
  <c r="J9" i="10"/>
  <c r="I9" i="10"/>
  <c r="AI9" i="10" s="1"/>
  <c r="AI8" i="10"/>
  <c r="AE8" i="10"/>
  <c r="AA8" i="10"/>
  <c r="Y8" i="10"/>
  <c r="AH8" i="10" s="1"/>
  <c r="AJ8" i="10" s="1"/>
  <c r="T8" i="10"/>
  <c r="O8" i="10"/>
  <c r="M8" i="10"/>
  <c r="J8" i="10"/>
  <c r="U8" i="10" s="1"/>
  <c r="AK8" i="10" s="1"/>
  <c r="I8" i="10"/>
  <c r="AE7" i="10"/>
  <c r="AA7" i="10"/>
  <c r="Y7" i="10"/>
  <c r="AH7" i="10" s="1"/>
  <c r="T7" i="10"/>
  <c r="O7" i="10"/>
  <c r="M7" i="10"/>
  <c r="J7" i="10"/>
  <c r="I7" i="10"/>
  <c r="AI7" i="10" s="1"/>
  <c r="AI6" i="10"/>
  <c r="AE6" i="10"/>
  <c r="AA6" i="10"/>
  <c r="Y6" i="10"/>
  <c r="AH6" i="10" s="1"/>
  <c r="AJ6" i="10" s="1"/>
  <c r="T6" i="10"/>
  <c r="O6" i="10"/>
  <c r="M6" i="10"/>
  <c r="J6" i="10"/>
  <c r="U6" i="10" s="1"/>
  <c r="AK6" i="10" s="1"/>
  <c r="I6" i="10"/>
  <c r="AE5" i="10"/>
  <c r="AA5" i="10"/>
  <c r="Y5" i="10"/>
  <c r="AH5" i="10" s="1"/>
  <c r="T5" i="10"/>
  <c r="O5" i="10"/>
  <c r="M5" i="10"/>
  <c r="J5" i="10"/>
  <c r="I5" i="10"/>
  <c r="AI5" i="10" s="1"/>
  <c r="AI4" i="10"/>
  <c r="AE4" i="10"/>
  <c r="AA4" i="10"/>
  <c r="Y4" i="10"/>
  <c r="AH4" i="10" s="1"/>
  <c r="AJ4" i="10" s="1"/>
  <c r="T4" i="10"/>
  <c r="O4" i="10"/>
  <c r="M4" i="10"/>
  <c r="J4" i="10"/>
  <c r="U4" i="10" s="1"/>
  <c r="AK4" i="10" s="1"/>
  <c r="I4" i="10"/>
  <c r="AE3" i="10"/>
  <c r="AA3" i="10"/>
  <c r="Y3" i="10"/>
  <c r="AH3" i="10" s="1"/>
  <c r="T3" i="10"/>
  <c r="O3" i="10"/>
  <c r="M3" i="10"/>
  <c r="J3" i="10"/>
  <c r="I3" i="10"/>
  <c r="AI3" i="10" s="1"/>
  <c r="AI27" i="9"/>
  <c r="AH27" i="9"/>
  <c r="AJ27" i="9" s="1"/>
  <c r="AE27" i="9"/>
  <c r="AA27" i="9"/>
  <c r="T27" i="9"/>
  <c r="O27" i="9"/>
  <c r="M27" i="9"/>
  <c r="J27" i="9"/>
  <c r="U27" i="9" s="1"/>
  <c r="AK27" i="9" s="1"/>
  <c r="I27" i="9"/>
  <c r="AH26" i="9"/>
  <c r="AE26" i="9"/>
  <c r="AA26" i="9"/>
  <c r="T26" i="9"/>
  <c r="O26" i="9"/>
  <c r="M26" i="9"/>
  <c r="J26" i="9"/>
  <c r="U26" i="9" s="1"/>
  <c r="AK26" i="9" s="1"/>
  <c r="I26" i="9"/>
  <c r="AI26" i="9" s="1"/>
  <c r="AJ26" i="9" s="1"/>
  <c r="AI25" i="9"/>
  <c r="AJ25" i="9" s="1"/>
  <c r="AH25" i="9"/>
  <c r="AE25" i="9"/>
  <c r="AA25" i="9"/>
  <c r="T25" i="9"/>
  <c r="O25" i="9"/>
  <c r="M25" i="9"/>
  <c r="J25" i="9"/>
  <c r="I25" i="9"/>
  <c r="AH24" i="9"/>
  <c r="AE24" i="9"/>
  <c r="AA24" i="9"/>
  <c r="T24" i="9"/>
  <c r="O24" i="9"/>
  <c r="M24" i="9"/>
  <c r="J24" i="9"/>
  <c r="I24" i="9"/>
  <c r="AI24" i="9" s="1"/>
  <c r="AI23" i="9"/>
  <c r="AH23" i="9"/>
  <c r="AJ23" i="9" s="1"/>
  <c r="AE23" i="9"/>
  <c r="AA23" i="9"/>
  <c r="T23" i="9"/>
  <c r="O23" i="9"/>
  <c r="M23" i="9"/>
  <c r="J23" i="9"/>
  <c r="U23" i="9" s="1"/>
  <c r="AK23" i="9" s="1"/>
  <c r="I23" i="9"/>
  <c r="AJ22" i="9"/>
  <c r="AI22" i="9"/>
  <c r="AH22" i="9"/>
  <c r="AE22" i="9"/>
  <c r="AA22" i="9"/>
  <c r="Y22" i="9"/>
  <c r="T22" i="9"/>
  <c r="O22" i="9"/>
  <c r="M22" i="9"/>
  <c r="J22" i="9"/>
  <c r="U22" i="9" s="1"/>
  <c r="AK22" i="9" s="1"/>
  <c r="I22" i="9"/>
  <c r="AH21" i="9"/>
  <c r="AE21" i="9"/>
  <c r="AA21" i="9"/>
  <c r="Y21" i="9"/>
  <c r="T21" i="9"/>
  <c r="O21" i="9"/>
  <c r="M21" i="9"/>
  <c r="J21" i="9"/>
  <c r="U21" i="9" s="1"/>
  <c r="AK21" i="9" s="1"/>
  <c r="I21" i="9"/>
  <c r="AI21" i="9" s="1"/>
  <c r="AJ20" i="9"/>
  <c r="AI20" i="9"/>
  <c r="AH20" i="9"/>
  <c r="AE20" i="9"/>
  <c r="AA20" i="9"/>
  <c r="Y20" i="9"/>
  <c r="T20" i="9"/>
  <c r="O20" i="9"/>
  <c r="M20" i="9"/>
  <c r="J20" i="9"/>
  <c r="I20" i="9"/>
  <c r="AH19" i="9"/>
  <c r="AE19" i="9"/>
  <c r="AA19" i="9"/>
  <c r="Y19" i="9"/>
  <c r="T19" i="9"/>
  <c r="O19" i="9"/>
  <c r="M19" i="9"/>
  <c r="J19" i="9"/>
  <c r="U19" i="9" s="1"/>
  <c r="AK19" i="9" s="1"/>
  <c r="I19" i="9"/>
  <c r="AI19" i="9" s="1"/>
  <c r="AJ18" i="9"/>
  <c r="AI18" i="9"/>
  <c r="AH18" i="9"/>
  <c r="AE18" i="9"/>
  <c r="AA18" i="9"/>
  <c r="Y18" i="9"/>
  <c r="T18" i="9"/>
  <c r="O18" i="9"/>
  <c r="M18" i="9"/>
  <c r="J18" i="9"/>
  <c r="U18" i="9" s="1"/>
  <c r="AK18" i="9" s="1"/>
  <c r="I18" i="9"/>
  <c r="AH17" i="9"/>
  <c r="AE17" i="9"/>
  <c r="AA17" i="9"/>
  <c r="Y17" i="9"/>
  <c r="T17" i="9"/>
  <c r="O17" i="9"/>
  <c r="M17" i="9"/>
  <c r="J17" i="9"/>
  <c r="U17" i="9" s="1"/>
  <c r="AK17" i="9" s="1"/>
  <c r="I17" i="9"/>
  <c r="AI17" i="9" s="1"/>
  <c r="AJ16" i="9"/>
  <c r="AI16" i="9"/>
  <c r="AH16" i="9"/>
  <c r="AE16" i="9"/>
  <c r="AA16" i="9"/>
  <c r="Y16" i="9"/>
  <c r="T16" i="9"/>
  <c r="O16" i="9"/>
  <c r="M16" i="9"/>
  <c r="J16" i="9"/>
  <c r="I16" i="9"/>
  <c r="AH15" i="9"/>
  <c r="AJ15" i="9" s="1"/>
  <c r="AE15" i="9"/>
  <c r="AA15" i="9"/>
  <c r="Y15" i="9"/>
  <c r="T15" i="9"/>
  <c r="O15" i="9"/>
  <c r="M15" i="9"/>
  <c r="J15" i="9"/>
  <c r="U15" i="9" s="1"/>
  <c r="AK15" i="9" s="1"/>
  <c r="AL15" i="9" s="1"/>
  <c r="I15" i="9"/>
  <c r="AI15" i="9" s="1"/>
  <c r="AJ14" i="9"/>
  <c r="AI14" i="9"/>
  <c r="AH14" i="9"/>
  <c r="AE14" i="9"/>
  <c r="AA14" i="9"/>
  <c r="Y14" i="9"/>
  <c r="T14" i="9"/>
  <c r="O14" i="9"/>
  <c r="M14" i="9"/>
  <c r="J14" i="9"/>
  <c r="U14" i="9" s="1"/>
  <c r="AK14" i="9" s="1"/>
  <c r="I14" i="9"/>
  <c r="AH13" i="9"/>
  <c r="AE13" i="9"/>
  <c r="AA13" i="9"/>
  <c r="Y13" i="9"/>
  <c r="T13" i="9"/>
  <c r="O13" i="9"/>
  <c r="M13" i="9"/>
  <c r="J13" i="9"/>
  <c r="U13" i="9" s="1"/>
  <c r="AK13" i="9" s="1"/>
  <c r="I13" i="9"/>
  <c r="AI13" i="9" s="1"/>
  <c r="AJ12" i="9"/>
  <c r="AI12" i="9"/>
  <c r="AH12" i="9"/>
  <c r="AE12" i="9"/>
  <c r="AA12" i="9"/>
  <c r="Y12" i="9"/>
  <c r="T12" i="9"/>
  <c r="O12" i="9"/>
  <c r="M12" i="9"/>
  <c r="J12" i="9"/>
  <c r="I12" i="9"/>
  <c r="AH11" i="9"/>
  <c r="AJ11" i="9" s="1"/>
  <c r="AE11" i="9"/>
  <c r="AA11" i="9"/>
  <c r="Y11" i="9"/>
  <c r="T11" i="9"/>
  <c r="O11" i="9"/>
  <c r="M11" i="9"/>
  <c r="J11" i="9"/>
  <c r="U11" i="9" s="1"/>
  <c r="AK11" i="9" s="1"/>
  <c r="AL11" i="9" s="1"/>
  <c r="I11" i="9"/>
  <c r="AI11" i="9" s="1"/>
  <c r="AJ10" i="9"/>
  <c r="AI10" i="9"/>
  <c r="AH10" i="9"/>
  <c r="AE10" i="9"/>
  <c r="AA10" i="9"/>
  <c r="Y10" i="9"/>
  <c r="T10" i="9"/>
  <c r="O10" i="9"/>
  <c r="M10" i="9"/>
  <c r="J10" i="9"/>
  <c r="U10" i="9" s="1"/>
  <c r="AK10" i="9" s="1"/>
  <c r="I10" i="9"/>
  <c r="AH9" i="9"/>
  <c r="AE9" i="9"/>
  <c r="AA9" i="9"/>
  <c r="Y9" i="9"/>
  <c r="T9" i="9"/>
  <c r="O9" i="9"/>
  <c r="M9" i="9"/>
  <c r="J9" i="9"/>
  <c r="U9" i="9" s="1"/>
  <c r="AK9" i="9" s="1"/>
  <c r="I9" i="9"/>
  <c r="AI9" i="9" s="1"/>
  <c r="AJ8" i="9"/>
  <c r="AI8" i="9"/>
  <c r="AH8" i="9"/>
  <c r="AE8" i="9"/>
  <c r="AA8" i="9"/>
  <c r="Y8" i="9"/>
  <c r="T8" i="9"/>
  <c r="O8" i="9"/>
  <c r="M8" i="9"/>
  <c r="J8" i="9"/>
  <c r="I8" i="9"/>
  <c r="AH7" i="9"/>
  <c r="AJ7" i="9" s="1"/>
  <c r="AE7" i="9"/>
  <c r="AA7" i="9"/>
  <c r="Y7" i="9"/>
  <c r="T7" i="9"/>
  <c r="O7" i="9"/>
  <c r="M7" i="9"/>
  <c r="J7" i="9"/>
  <c r="U7" i="9" s="1"/>
  <c r="AK7" i="9" s="1"/>
  <c r="AL7" i="9" s="1"/>
  <c r="I7" i="9"/>
  <c r="AI7" i="9" s="1"/>
  <c r="AJ6" i="9"/>
  <c r="AI6" i="9"/>
  <c r="AH6" i="9"/>
  <c r="AE6" i="9"/>
  <c r="AA6" i="9"/>
  <c r="Y6" i="9"/>
  <c r="T6" i="9"/>
  <c r="O6" i="9"/>
  <c r="M6" i="9"/>
  <c r="J6" i="9"/>
  <c r="U6" i="9" s="1"/>
  <c r="AK6" i="9" s="1"/>
  <c r="I6" i="9"/>
  <c r="AH5" i="9"/>
  <c r="AE5" i="9"/>
  <c r="AA5" i="9"/>
  <c r="Y5" i="9"/>
  <c r="T5" i="9"/>
  <c r="O5" i="9"/>
  <c r="M5" i="9"/>
  <c r="J5" i="9"/>
  <c r="U5" i="9" s="1"/>
  <c r="AK5" i="9" s="1"/>
  <c r="I5" i="9"/>
  <c r="AI5" i="9" s="1"/>
  <c r="AJ4" i="9"/>
  <c r="AI4" i="9"/>
  <c r="AH4" i="9"/>
  <c r="AE4" i="9"/>
  <c r="AA4" i="9"/>
  <c r="Y4" i="9"/>
  <c r="T4" i="9"/>
  <c r="O4" i="9"/>
  <c r="M4" i="9"/>
  <c r="J4" i="9"/>
  <c r="I4" i="9"/>
  <c r="AH3" i="9"/>
  <c r="AJ3" i="9" s="1"/>
  <c r="AE3" i="9"/>
  <c r="AA3" i="9"/>
  <c r="Y3" i="9"/>
  <c r="T3" i="9"/>
  <c r="O3" i="9"/>
  <c r="M3" i="9"/>
  <c r="J3" i="9"/>
  <c r="U3" i="9" s="1"/>
  <c r="AK3" i="9" s="1"/>
  <c r="AL3" i="9" s="1"/>
  <c r="I3" i="9"/>
  <c r="AI3" i="9" s="1"/>
  <c r="AJ26" i="8"/>
  <c r="AI26" i="8"/>
  <c r="AH26" i="8"/>
  <c r="AE26" i="8"/>
  <c r="AA26" i="8"/>
  <c r="Y26" i="8"/>
  <c r="T26" i="8"/>
  <c r="O26" i="8"/>
  <c r="M26" i="8"/>
  <c r="J26" i="8"/>
  <c r="U26" i="8" s="1"/>
  <c r="AK26" i="8" s="1"/>
  <c r="I26" i="8"/>
  <c r="AH25" i="8"/>
  <c r="AE25" i="8"/>
  <c r="AA25" i="8"/>
  <c r="Y25" i="8"/>
  <c r="T25" i="8"/>
  <c r="O25" i="8"/>
  <c r="M25" i="8"/>
  <c r="J25" i="8"/>
  <c r="U25" i="8" s="1"/>
  <c r="AK25" i="8" s="1"/>
  <c r="I25" i="8"/>
  <c r="AI25" i="8" s="1"/>
  <c r="AJ24" i="8"/>
  <c r="AI24" i="8"/>
  <c r="AH24" i="8"/>
  <c r="AE24" i="8"/>
  <c r="AA24" i="8"/>
  <c r="Y24" i="8"/>
  <c r="T24" i="8"/>
  <c r="O24" i="8"/>
  <c r="M24" i="8"/>
  <c r="J24" i="8"/>
  <c r="I24" i="8"/>
  <c r="AH23" i="8"/>
  <c r="AJ23" i="8" s="1"/>
  <c r="AE23" i="8"/>
  <c r="AA23" i="8"/>
  <c r="Y23" i="8"/>
  <c r="T23" i="8"/>
  <c r="O23" i="8"/>
  <c r="M23" i="8"/>
  <c r="J23" i="8"/>
  <c r="U23" i="8" s="1"/>
  <c r="AK23" i="8" s="1"/>
  <c r="AL23" i="8" s="1"/>
  <c r="I23" i="8"/>
  <c r="AI23" i="8" s="1"/>
  <c r="AJ22" i="8"/>
  <c r="AI22" i="8"/>
  <c r="AH22" i="8"/>
  <c r="AE22" i="8"/>
  <c r="AA22" i="8"/>
  <c r="Y22" i="8"/>
  <c r="T22" i="8"/>
  <c r="O22" i="8"/>
  <c r="M22" i="8"/>
  <c r="J22" i="8"/>
  <c r="U22" i="8" s="1"/>
  <c r="AK22" i="8" s="1"/>
  <c r="I22" i="8"/>
  <c r="AH21" i="8"/>
  <c r="AE21" i="8"/>
  <c r="AA21" i="8"/>
  <c r="Y21" i="8"/>
  <c r="T21" i="8"/>
  <c r="O21" i="8"/>
  <c r="M21" i="8"/>
  <c r="J21" i="8"/>
  <c r="U21" i="8" s="1"/>
  <c r="AK21" i="8" s="1"/>
  <c r="I21" i="8"/>
  <c r="AI21" i="8" s="1"/>
  <c r="AJ20" i="8"/>
  <c r="AI20" i="8"/>
  <c r="AH20" i="8"/>
  <c r="AE20" i="8"/>
  <c r="AA20" i="8"/>
  <c r="Y20" i="8"/>
  <c r="T20" i="8"/>
  <c r="O20" i="8"/>
  <c r="M20" i="8"/>
  <c r="J20" i="8"/>
  <c r="I20" i="8"/>
  <c r="AH19" i="8"/>
  <c r="AJ19" i="8" s="1"/>
  <c r="AE19" i="8"/>
  <c r="AA19" i="8"/>
  <c r="Y19" i="8"/>
  <c r="T19" i="8"/>
  <c r="O19" i="8"/>
  <c r="M19" i="8"/>
  <c r="J19" i="8"/>
  <c r="U19" i="8" s="1"/>
  <c r="AK19" i="8" s="1"/>
  <c r="AL19" i="8" s="1"/>
  <c r="I19" i="8"/>
  <c r="AI19" i="8" s="1"/>
  <c r="AJ18" i="8"/>
  <c r="AI18" i="8"/>
  <c r="AH18" i="8"/>
  <c r="AE18" i="8"/>
  <c r="AA18" i="8"/>
  <c r="Y18" i="8"/>
  <c r="T18" i="8"/>
  <c r="O18" i="8"/>
  <c r="M18" i="8"/>
  <c r="J18" i="8"/>
  <c r="U18" i="8" s="1"/>
  <c r="AK18" i="8" s="1"/>
  <c r="I18" i="8"/>
  <c r="AH17" i="8"/>
  <c r="AE17" i="8"/>
  <c r="AA17" i="8"/>
  <c r="Y17" i="8"/>
  <c r="T17" i="8"/>
  <c r="O17" i="8"/>
  <c r="M17" i="8"/>
  <c r="J17" i="8"/>
  <c r="U17" i="8" s="1"/>
  <c r="AK17" i="8" s="1"/>
  <c r="I17" i="8"/>
  <c r="AI17" i="8" s="1"/>
  <c r="AJ16" i="8"/>
  <c r="AI16" i="8"/>
  <c r="AH16" i="8"/>
  <c r="AE16" i="8"/>
  <c r="AA16" i="8"/>
  <c r="Y16" i="8"/>
  <c r="T16" i="8"/>
  <c r="O16" i="8"/>
  <c r="M16" i="8"/>
  <c r="J16" i="8"/>
  <c r="I16" i="8"/>
  <c r="AH15" i="8"/>
  <c r="AJ15" i="8" s="1"/>
  <c r="AE15" i="8"/>
  <c r="AA15" i="8"/>
  <c r="Y15" i="8"/>
  <c r="T15" i="8"/>
  <c r="O15" i="8"/>
  <c r="M15" i="8"/>
  <c r="J15" i="8"/>
  <c r="U15" i="8" s="1"/>
  <c r="AK15" i="8" s="1"/>
  <c r="AL15" i="8" s="1"/>
  <c r="I15" i="8"/>
  <c r="AI15" i="8" s="1"/>
  <c r="AI14" i="8"/>
  <c r="AH14" i="8"/>
  <c r="AJ14" i="8" s="1"/>
  <c r="AL14" i="8" s="1"/>
  <c r="AE14" i="8"/>
  <c r="AA14" i="8"/>
  <c r="Y14" i="8"/>
  <c r="T14" i="8"/>
  <c r="O14" i="8"/>
  <c r="M14" i="8"/>
  <c r="J14" i="8"/>
  <c r="U14" i="8" s="1"/>
  <c r="AK14" i="8" s="1"/>
  <c r="I14" i="8"/>
  <c r="AJ13" i="8"/>
  <c r="AH13" i="8"/>
  <c r="AE13" i="8"/>
  <c r="AA13" i="8"/>
  <c r="Y13" i="8"/>
  <c r="T13" i="8"/>
  <c r="O13" i="8"/>
  <c r="M13" i="8"/>
  <c r="J13" i="8"/>
  <c r="U13" i="8" s="1"/>
  <c r="AK13" i="8" s="1"/>
  <c r="I13" i="8"/>
  <c r="AI13" i="8" s="1"/>
  <c r="AJ12" i="8"/>
  <c r="AI12" i="8"/>
  <c r="AH12" i="8"/>
  <c r="AE12" i="8"/>
  <c r="AA12" i="8"/>
  <c r="Y12" i="8"/>
  <c r="T12" i="8"/>
  <c r="O12" i="8"/>
  <c r="M12" i="8"/>
  <c r="J12" i="8"/>
  <c r="I12" i="8"/>
  <c r="AH11" i="8"/>
  <c r="AJ11" i="8" s="1"/>
  <c r="AE11" i="8"/>
  <c r="AA11" i="8"/>
  <c r="Y11" i="8"/>
  <c r="T11" i="8"/>
  <c r="O11" i="8"/>
  <c r="M11" i="8"/>
  <c r="J11" i="8"/>
  <c r="U11" i="8" s="1"/>
  <c r="AK11" i="8" s="1"/>
  <c r="AL11" i="8" s="1"/>
  <c r="I11" i="8"/>
  <c r="AI11" i="8" s="1"/>
  <c r="AJ10" i="8"/>
  <c r="AI10" i="8"/>
  <c r="AH10" i="8"/>
  <c r="AE10" i="8"/>
  <c r="AA10" i="8"/>
  <c r="Y10" i="8"/>
  <c r="T10" i="8"/>
  <c r="O10" i="8"/>
  <c r="M10" i="8"/>
  <c r="J10" i="8"/>
  <c r="U10" i="8" s="1"/>
  <c r="AK10" i="8" s="1"/>
  <c r="AL10" i="8" s="1"/>
  <c r="I10" i="8"/>
  <c r="AH9" i="8"/>
  <c r="AE9" i="8"/>
  <c r="AA9" i="8"/>
  <c r="Y9" i="8"/>
  <c r="T9" i="8"/>
  <c r="O9" i="8"/>
  <c r="M9" i="8"/>
  <c r="J9" i="8"/>
  <c r="U9" i="8" s="1"/>
  <c r="AK9" i="8" s="1"/>
  <c r="I9" i="8"/>
  <c r="AI9" i="8" s="1"/>
  <c r="AJ9" i="8" s="1"/>
  <c r="AL9" i="8" s="1"/>
  <c r="AI8" i="8"/>
  <c r="AH8" i="8"/>
  <c r="AJ8" i="8" s="1"/>
  <c r="AE8" i="8"/>
  <c r="AA8" i="8"/>
  <c r="Y8" i="8"/>
  <c r="T8" i="8"/>
  <c r="O8" i="8"/>
  <c r="M8" i="8"/>
  <c r="J8" i="8"/>
  <c r="U8" i="8" s="1"/>
  <c r="AK8" i="8" s="1"/>
  <c r="I8" i="8"/>
  <c r="AH7" i="8"/>
  <c r="AJ7" i="8" s="1"/>
  <c r="AE7" i="8"/>
  <c r="AA7" i="8"/>
  <c r="Y7" i="8"/>
  <c r="T7" i="8"/>
  <c r="O7" i="8"/>
  <c r="M7" i="8"/>
  <c r="J7" i="8"/>
  <c r="U7" i="8" s="1"/>
  <c r="AK7" i="8" s="1"/>
  <c r="I7" i="8"/>
  <c r="AI7" i="8" s="1"/>
  <c r="AI6" i="8"/>
  <c r="AH6" i="8"/>
  <c r="AJ6" i="8" s="1"/>
  <c r="AE6" i="8"/>
  <c r="AA6" i="8"/>
  <c r="Y6" i="8"/>
  <c r="T6" i="8"/>
  <c r="O6" i="8"/>
  <c r="M6" i="8"/>
  <c r="J6" i="8"/>
  <c r="U6" i="8" s="1"/>
  <c r="AK6" i="8" s="1"/>
  <c r="I6" i="8"/>
  <c r="AJ5" i="8"/>
  <c r="AH5" i="8"/>
  <c r="AE5" i="8"/>
  <c r="AA5" i="8"/>
  <c r="Y5" i="8"/>
  <c r="T5" i="8"/>
  <c r="O5" i="8"/>
  <c r="M5" i="8"/>
  <c r="J5" i="8"/>
  <c r="U5" i="8" s="1"/>
  <c r="AK5" i="8" s="1"/>
  <c r="I5" i="8"/>
  <c r="AI5" i="8" s="1"/>
  <c r="AJ4" i="8"/>
  <c r="AI4" i="8"/>
  <c r="AH4" i="8"/>
  <c r="AE4" i="8"/>
  <c r="AA4" i="8"/>
  <c r="Y4" i="8"/>
  <c r="T4" i="8"/>
  <c r="O4" i="8"/>
  <c r="M4" i="8"/>
  <c r="J4" i="8"/>
  <c r="I4" i="8"/>
  <c r="AH3" i="8"/>
  <c r="AJ3" i="8" s="1"/>
  <c r="AE3" i="8"/>
  <c r="AA3" i="8"/>
  <c r="Y3" i="8"/>
  <c r="T3" i="8"/>
  <c r="O3" i="8"/>
  <c r="M3" i="8"/>
  <c r="J3" i="8"/>
  <c r="U3" i="8" s="1"/>
  <c r="I3" i="8"/>
  <c r="AI3" i="8" s="1"/>
  <c r="AK30" i="7"/>
  <c r="AI30" i="7"/>
  <c r="AH30" i="7"/>
  <c r="AJ30" i="7" s="1"/>
  <c r="AL30" i="7" s="1"/>
  <c r="Y30" i="7"/>
  <c r="AH29" i="7"/>
  <c r="AJ29" i="7" s="1"/>
  <c r="AE29" i="7"/>
  <c r="AA29" i="7"/>
  <c r="Y29" i="7"/>
  <c r="T29" i="7"/>
  <c r="O29" i="7"/>
  <c r="M29" i="7"/>
  <c r="J29" i="7"/>
  <c r="U29" i="7" s="1"/>
  <c r="AK29" i="7" s="1"/>
  <c r="I29" i="7"/>
  <c r="AI29" i="7" s="1"/>
  <c r="AI28" i="7"/>
  <c r="AH28" i="7"/>
  <c r="AJ28" i="7" s="1"/>
  <c r="AE28" i="7"/>
  <c r="AA28" i="7"/>
  <c r="Y28" i="7"/>
  <c r="T28" i="7"/>
  <c r="O28" i="7"/>
  <c r="M28" i="7"/>
  <c r="J28" i="7"/>
  <c r="U28" i="7" s="1"/>
  <c r="AK28" i="7" s="1"/>
  <c r="I28" i="7"/>
  <c r="AJ27" i="7"/>
  <c r="AH27" i="7"/>
  <c r="AE27" i="7"/>
  <c r="AA27" i="7"/>
  <c r="Y27" i="7"/>
  <c r="T27" i="7"/>
  <c r="O27" i="7"/>
  <c r="M27" i="7"/>
  <c r="J27" i="7"/>
  <c r="U27" i="7" s="1"/>
  <c r="AK27" i="7" s="1"/>
  <c r="I27" i="7"/>
  <c r="AI27" i="7" s="1"/>
  <c r="AJ26" i="7"/>
  <c r="AI26" i="7"/>
  <c r="AH26" i="7"/>
  <c r="AE26" i="7"/>
  <c r="AA26" i="7"/>
  <c r="Y26" i="7"/>
  <c r="T26" i="7"/>
  <c r="O26" i="7"/>
  <c r="M26" i="7"/>
  <c r="J26" i="7"/>
  <c r="I26" i="7"/>
  <c r="AH25" i="7"/>
  <c r="AJ25" i="7" s="1"/>
  <c r="AE25" i="7"/>
  <c r="AA25" i="7"/>
  <c r="Y25" i="7"/>
  <c r="T25" i="7"/>
  <c r="O25" i="7"/>
  <c r="M25" i="7"/>
  <c r="J25" i="7"/>
  <c r="U25" i="7" s="1"/>
  <c r="I25" i="7"/>
  <c r="AI25" i="7" s="1"/>
  <c r="AJ24" i="7"/>
  <c r="AI24" i="7"/>
  <c r="AH24" i="7"/>
  <c r="AE24" i="7"/>
  <c r="AA24" i="7"/>
  <c r="Y24" i="7"/>
  <c r="T24" i="7"/>
  <c r="O24" i="7"/>
  <c r="M24" i="7"/>
  <c r="J24" i="7"/>
  <c r="U24" i="7" s="1"/>
  <c r="AK24" i="7" s="1"/>
  <c r="AL24" i="7" s="1"/>
  <c r="I24" i="7"/>
  <c r="AH23" i="7"/>
  <c r="AE23" i="7"/>
  <c r="AA23" i="7"/>
  <c r="Y23" i="7"/>
  <c r="T23" i="7"/>
  <c r="O23" i="7"/>
  <c r="M23" i="7"/>
  <c r="J23" i="7"/>
  <c r="U23" i="7" s="1"/>
  <c r="AK23" i="7" s="1"/>
  <c r="I23" i="7"/>
  <c r="AI23" i="7" s="1"/>
  <c r="AJ23" i="7" s="1"/>
  <c r="C23" i="7"/>
  <c r="AE22" i="7"/>
  <c r="AA22" i="7"/>
  <c r="Y22" i="7"/>
  <c r="AH22" i="7" s="1"/>
  <c r="T22" i="7"/>
  <c r="O22" i="7"/>
  <c r="M22" i="7"/>
  <c r="J22" i="7"/>
  <c r="U22" i="7" s="1"/>
  <c r="I22" i="7"/>
  <c r="AI22" i="7" s="1"/>
  <c r="C22" i="7"/>
  <c r="AI21" i="7"/>
  <c r="AH21" i="7"/>
  <c r="AJ21" i="7" s="1"/>
  <c r="AE21" i="7"/>
  <c r="AA21" i="7"/>
  <c r="Y21" i="7"/>
  <c r="T21" i="7"/>
  <c r="O21" i="7"/>
  <c r="M21" i="7"/>
  <c r="J21" i="7"/>
  <c r="U21" i="7" s="1"/>
  <c r="AK21" i="7" s="1"/>
  <c r="I21" i="7"/>
  <c r="AH20" i="7"/>
  <c r="AJ20" i="7" s="1"/>
  <c r="AE20" i="7"/>
  <c r="AA20" i="7"/>
  <c r="Y20" i="7"/>
  <c r="T20" i="7"/>
  <c r="O20" i="7"/>
  <c r="M20" i="7"/>
  <c r="J20" i="7"/>
  <c r="U20" i="7" s="1"/>
  <c r="AK20" i="7" s="1"/>
  <c r="I20" i="7"/>
  <c r="AI20" i="7" s="1"/>
  <c r="AI19" i="7"/>
  <c r="AH19" i="7"/>
  <c r="AJ19" i="7" s="1"/>
  <c r="AL19" i="7" s="1"/>
  <c r="AE19" i="7"/>
  <c r="AA19" i="7"/>
  <c r="Y19" i="7"/>
  <c r="T19" i="7"/>
  <c r="O19" i="7"/>
  <c r="M19" i="7"/>
  <c r="J19" i="7"/>
  <c r="U19" i="7" s="1"/>
  <c r="AK19" i="7" s="1"/>
  <c r="I19" i="7"/>
  <c r="AJ18" i="7"/>
  <c r="AH18" i="7"/>
  <c r="AE18" i="7"/>
  <c r="AA18" i="7"/>
  <c r="Y18" i="7"/>
  <c r="T18" i="7"/>
  <c r="O18" i="7"/>
  <c r="M18" i="7"/>
  <c r="J18" i="7"/>
  <c r="U18" i="7" s="1"/>
  <c r="AK18" i="7" s="1"/>
  <c r="I18" i="7"/>
  <c r="AI18" i="7" s="1"/>
  <c r="AJ17" i="7"/>
  <c r="AI17" i="7"/>
  <c r="AH17" i="7"/>
  <c r="AE17" i="7"/>
  <c r="AA17" i="7"/>
  <c r="Y17" i="7"/>
  <c r="T17" i="7"/>
  <c r="O17" i="7"/>
  <c r="M17" i="7"/>
  <c r="J17" i="7"/>
  <c r="I17" i="7"/>
  <c r="AH16" i="7"/>
  <c r="AE16" i="7"/>
  <c r="AA16" i="7"/>
  <c r="Y16" i="7"/>
  <c r="T16" i="7"/>
  <c r="O16" i="7"/>
  <c r="M16" i="7"/>
  <c r="J16" i="7"/>
  <c r="U16" i="7" s="1"/>
  <c r="AK16" i="7" s="1"/>
  <c r="AL16" i="7" s="1"/>
  <c r="I16" i="7"/>
  <c r="AI16" i="7" s="1"/>
  <c r="AJ16" i="7" s="1"/>
  <c r="AI15" i="7"/>
  <c r="AH15" i="7"/>
  <c r="AJ15" i="7" s="1"/>
  <c r="AE15" i="7"/>
  <c r="AA15" i="7"/>
  <c r="Y15" i="7"/>
  <c r="T15" i="7"/>
  <c r="O15" i="7"/>
  <c r="M15" i="7"/>
  <c r="J15" i="7"/>
  <c r="U15" i="7" s="1"/>
  <c r="AK15" i="7" s="1"/>
  <c r="I15" i="7"/>
  <c r="AE14" i="7"/>
  <c r="AA14" i="7"/>
  <c r="Y14" i="7"/>
  <c r="AH14" i="7" s="1"/>
  <c r="AJ14" i="7" s="1"/>
  <c r="T14" i="7"/>
  <c r="O14" i="7"/>
  <c r="M14" i="7"/>
  <c r="J14" i="7"/>
  <c r="U14" i="7" s="1"/>
  <c r="AK14" i="7" s="1"/>
  <c r="I14" i="7"/>
  <c r="AI14" i="7" s="1"/>
  <c r="AE13" i="7"/>
  <c r="AA13" i="7"/>
  <c r="Y13" i="7"/>
  <c r="AH13" i="7" s="1"/>
  <c r="T13" i="7"/>
  <c r="O13" i="7"/>
  <c r="M13" i="7"/>
  <c r="J13" i="7"/>
  <c r="I13" i="7"/>
  <c r="AI13" i="7" s="1"/>
  <c r="AI12" i="7"/>
  <c r="AE12" i="7"/>
  <c r="AA12" i="7"/>
  <c r="Y12" i="7"/>
  <c r="AH12" i="7" s="1"/>
  <c r="AJ12" i="7" s="1"/>
  <c r="T12" i="7"/>
  <c r="O12" i="7"/>
  <c r="M12" i="7"/>
  <c r="J12" i="7"/>
  <c r="U12" i="7" s="1"/>
  <c r="AK12" i="7" s="1"/>
  <c r="I12" i="7"/>
  <c r="AE11" i="7"/>
  <c r="AA11" i="7"/>
  <c r="Y11" i="7"/>
  <c r="AH11" i="7" s="1"/>
  <c r="T11" i="7"/>
  <c r="O11" i="7"/>
  <c r="M11" i="7"/>
  <c r="J11" i="7"/>
  <c r="I11" i="7"/>
  <c r="AI11" i="7" s="1"/>
  <c r="AI10" i="7"/>
  <c r="AE10" i="7"/>
  <c r="AA10" i="7"/>
  <c r="Y10" i="7"/>
  <c r="AH10" i="7" s="1"/>
  <c r="AJ10" i="7" s="1"/>
  <c r="T10" i="7"/>
  <c r="O10" i="7"/>
  <c r="M10" i="7"/>
  <c r="J10" i="7"/>
  <c r="U10" i="7" s="1"/>
  <c r="AK10" i="7" s="1"/>
  <c r="I10" i="7"/>
  <c r="AE9" i="7"/>
  <c r="AA9" i="7"/>
  <c r="Y9" i="7"/>
  <c r="AH9" i="7" s="1"/>
  <c r="T9" i="7"/>
  <c r="O9" i="7"/>
  <c r="M9" i="7"/>
  <c r="J9" i="7"/>
  <c r="I9" i="7"/>
  <c r="AI9" i="7" s="1"/>
  <c r="AI8" i="7"/>
  <c r="AE8" i="7"/>
  <c r="AA8" i="7"/>
  <c r="Y8" i="7"/>
  <c r="AH8" i="7" s="1"/>
  <c r="AJ8" i="7" s="1"/>
  <c r="T8" i="7"/>
  <c r="O8" i="7"/>
  <c r="M8" i="7"/>
  <c r="J8" i="7"/>
  <c r="U8" i="7" s="1"/>
  <c r="AK8" i="7" s="1"/>
  <c r="I8" i="7"/>
  <c r="AE7" i="7"/>
  <c r="AA7" i="7"/>
  <c r="Y7" i="7"/>
  <c r="AH7" i="7" s="1"/>
  <c r="T7" i="7"/>
  <c r="O7" i="7"/>
  <c r="M7" i="7"/>
  <c r="J7" i="7"/>
  <c r="I7" i="7"/>
  <c r="AI7" i="7" s="1"/>
  <c r="AI6" i="7"/>
  <c r="AE6" i="7"/>
  <c r="AA6" i="7"/>
  <c r="Y6" i="7"/>
  <c r="AH6" i="7" s="1"/>
  <c r="AJ6" i="7" s="1"/>
  <c r="T6" i="7"/>
  <c r="O6" i="7"/>
  <c r="M6" i="7"/>
  <c r="J6" i="7"/>
  <c r="U6" i="7" s="1"/>
  <c r="AK6" i="7" s="1"/>
  <c r="I6" i="7"/>
  <c r="AE5" i="7"/>
  <c r="AA5" i="7"/>
  <c r="Y5" i="7"/>
  <c r="AH5" i="7" s="1"/>
  <c r="T5" i="7"/>
  <c r="O5" i="7"/>
  <c r="M5" i="7"/>
  <c r="J5" i="7"/>
  <c r="I5" i="7"/>
  <c r="AI5" i="7" s="1"/>
  <c r="AI4" i="7"/>
  <c r="AE4" i="7"/>
  <c r="AA4" i="7"/>
  <c r="Y4" i="7"/>
  <c r="AH4" i="7" s="1"/>
  <c r="AJ4" i="7" s="1"/>
  <c r="AL4" i="7" s="1"/>
  <c r="T4" i="7"/>
  <c r="O4" i="7"/>
  <c r="M4" i="7"/>
  <c r="J4" i="7"/>
  <c r="U4" i="7" s="1"/>
  <c r="AK4" i="7" s="1"/>
  <c r="I4" i="7"/>
  <c r="AE3" i="7"/>
  <c r="AA3" i="7"/>
  <c r="Y3" i="7"/>
  <c r="AH3" i="7" s="1"/>
  <c r="T3" i="7"/>
  <c r="O3" i="7"/>
  <c r="M3" i="7"/>
  <c r="J3" i="7"/>
  <c r="I3" i="7"/>
  <c r="AI3" i="7" s="1"/>
  <c r="AH30" i="6"/>
  <c r="AJ29" i="6"/>
  <c r="AI29" i="6"/>
  <c r="AH29" i="6"/>
  <c r="AE29" i="6"/>
  <c r="AA29" i="6"/>
  <c r="Y29" i="6"/>
  <c r="T29" i="6"/>
  <c r="O29" i="6"/>
  <c r="M29" i="6"/>
  <c r="J29" i="6"/>
  <c r="U29" i="6" s="1"/>
  <c r="I29" i="6"/>
  <c r="AH28" i="6"/>
  <c r="AJ28" i="6" s="1"/>
  <c r="AE28" i="6"/>
  <c r="AA28" i="6"/>
  <c r="Y28" i="6"/>
  <c r="T28" i="6"/>
  <c r="O28" i="6"/>
  <c r="M28" i="6"/>
  <c r="J28" i="6"/>
  <c r="U28" i="6" s="1"/>
  <c r="AK28" i="6" s="1"/>
  <c r="I28" i="6"/>
  <c r="AI28" i="6" s="1"/>
  <c r="AJ27" i="6"/>
  <c r="AI27" i="6"/>
  <c r="AH27" i="6"/>
  <c r="AE27" i="6"/>
  <c r="AA27" i="6"/>
  <c r="Y27" i="6"/>
  <c r="T27" i="6"/>
  <c r="O27" i="6"/>
  <c r="M27" i="6"/>
  <c r="J27" i="6"/>
  <c r="I27" i="6"/>
  <c r="AH26" i="6"/>
  <c r="AJ26" i="6" s="1"/>
  <c r="AE26" i="6"/>
  <c r="AA26" i="6"/>
  <c r="Y26" i="6"/>
  <c r="T26" i="6"/>
  <c r="O26" i="6"/>
  <c r="M26" i="6"/>
  <c r="J26" i="6"/>
  <c r="U26" i="6" s="1"/>
  <c r="AK26" i="6" s="1"/>
  <c r="I26" i="6"/>
  <c r="AI26" i="6" s="1"/>
  <c r="AJ25" i="6"/>
  <c r="AI25" i="6"/>
  <c r="AH25" i="6"/>
  <c r="AE25" i="6"/>
  <c r="AA25" i="6"/>
  <c r="Y25" i="6"/>
  <c r="T25" i="6"/>
  <c r="O25" i="6"/>
  <c r="M25" i="6"/>
  <c r="J25" i="6"/>
  <c r="U25" i="6" s="1"/>
  <c r="I25" i="6"/>
  <c r="AH24" i="6"/>
  <c r="AJ24" i="6" s="1"/>
  <c r="AE24" i="6"/>
  <c r="AA24" i="6"/>
  <c r="Y24" i="6"/>
  <c r="T24" i="6"/>
  <c r="O24" i="6"/>
  <c r="M24" i="6"/>
  <c r="J24" i="6"/>
  <c r="U24" i="6" s="1"/>
  <c r="AK24" i="6" s="1"/>
  <c r="I24" i="6"/>
  <c r="AI24" i="6" s="1"/>
  <c r="AJ23" i="6"/>
  <c r="AI23" i="6"/>
  <c r="AH23" i="6"/>
  <c r="AE23" i="6"/>
  <c r="AA23" i="6"/>
  <c r="Y23" i="6"/>
  <c r="T23" i="6"/>
  <c r="O23" i="6"/>
  <c r="M23" i="6"/>
  <c r="J23" i="6"/>
  <c r="I23" i="6"/>
  <c r="AH22" i="6"/>
  <c r="AJ22" i="6" s="1"/>
  <c r="AE22" i="6"/>
  <c r="AA22" i="6"/>
  <c r="Y22" i="6"/>
  <c r="T22" i="6"/>
  <c r="O22" i="6"/>
  <c r="M22" i="6"/>
  <c r="J22" i="6"/>
  <c r="U22" i="6" s="1"/>
  <c r="AK22" i="6" s="1"/>
  <c r="I22" i="6"/>
  <c r="AI22" i="6" s="1"/>
  <c r="AJ21" i="6"/>
  <c r="AI21" i="6"/>
  <c r="AH21" i="6"/>
  <c r="AE21" i="6"/>
  <c r="AA21" i="6"/>
  <c r="Y21" i="6"/>
  <c r="T21" i="6"/>
  <c r="O21" i="6"/>
  <c r="M21" i="6"/>
  <c r="J21" i="6"/>
  <c r="U21" i="6" s="1"/>
  <c r="I21" i="6"/>
  <c r="AH20" i="6"/>
  <c r="AJ20" i="6" s="1"/>
  <c r="AE20" i="6"/>
  <c r="AA20" i="6"/>
  <c r="Y20" i="6"/>
  <c r="T20" i="6"/>
  <c r="O20" i="6"/>
  <c r="M20" i="6"/>
  <c r="J20" i="6"/>
  <c r="U20" i="6" s="1"/>
  <c r="AK20" i="6" s="1"/>
  <c r="I20" i="6"/>
  <c r="AI20" i="6" s="1"/>
  <c r="AJ19" i="6"/>
  <c r="AI19" i="6"/>
  <c r="AH19" i="6"/>
  <c r="AE19" i="6"/>
  <c r="AA19" i="6"/>
  <c r="Y19" i="6"/>
  <c r="T19" i="6"/>
  <c r="O19" i="6"/>
  <c r="M19" i="6"/>
  <c r="J19" i="6"/>
  <c r="I19" i="6"/>
  <c r="AH18" i="6"/>
  <c r="AJ18" i="6" s="1"/>
  <c r="AE18" i="6"/>
  <c r="AA18" i="6"/>
  <c r="Y18" i="6"/>
  <c r="T18" i="6"/>
  <c r="O18" i="6"/>
  <c r="M18" i="6"/>
  <c r="J18" i="6"/>
  <c r="U18" i="6" s="1"/>
  <c r="AK18" i="6" s="1"/>
  <c r="I18" i="6"/>
  <c r="AI18" i="6" s="1"/>
  <c r="AJ17" i="6"/>
  <c r="AI17" i="6"/>
  <c r="AH17" i="6"/>
  <c r="AE17" i="6"/>
  <c r="AA17" i="6"/>
  <c r="Y17" i="6"/>
  <c r="T17" i="6"/>
  <c r="O17" i="6"/>
  <c r="M17" i="6"/>
  <c r="J17" i="6"/>
  <c r="U17" i="6" s="1"/>
  <c r="I17" i="6"/>
  <c r="AH16" i="6"/>
  <c r="AJ16" i="6" s="1"/>
  <c r="AE16" i="6"/>
  <c r="AA16" i="6"/>
  <c r="Y16" i="6"/>
  <c r="T16" i="6"/>
  <c r="O16" i="6"/>
  <c r="M16" i="6"/>
  <c r="J16" i="6"/>
  <c r="U16" i="6" s="1"/>
  <c r="AK16" i="6" s="1"/>
  <c r="I16" i="6"/>
  <c r="AI16" i="6" s="1"/>
  <c r="AJ15" i="6"/>
  <c r="AI15" i="6"/>
  <c r="AH15" i="6"/>
  <c r="AE15" i="6"/>
  <c r="AA15" i="6"/>
  <c r="Y15" i="6"/>
  <c r="T15" i="6"/>
  <c r="O15" i="6"/>
  <c r="M15" i="6"/>
  <c r="J15" i="6"/>
  <c r="I15" i="6"/>
  <c r="AH14" i="6"/>
  <c r="AJ14" i="6" s="1"/>
  <c r="AE14" i="6"/>
  <c r="AA14" i="6"/>
  <c r="Y14" i="6"/>
  <c r="T14" i="6"/>
  <c r="O14" i="6"/>
  <c r="M14" i="6"/>
  <c r="J14" i="6"/>
  <c r="U14" i="6" s="1"/>
  <c r="AK14" i="6" s="1"/>
  <c r="I14" i="6"/>
  <c r="AI14" i="6" s="1"/>
  <c r="AJ13" i="6"/>
  <c r="AI13" i="6"/>
  <c r="AH13" i="6"/>
  <c r="AE13" i="6"/>
  <c r="AA13" i="6"/>
  <c r="Y13" i="6"/>
  <c r="T13" i="6"/>
  <c r="O13" i="6"/>
  <c r="M13" i="6"/>
  <c r="J13" i="6"/>
  <c r="U13" i="6" s="1"/>
  <c r="I13" i="6"/>
  <c r="AH12" i="6"/>
  <c r="AJ12" i="6" s="1"/>
  <c r="AE12" i="6"/>
  <c r="AA12" i="6"/>
  <c r="Y12" i="6"/>
  <c r="T12" i="6"/>
  <c r="O12" i="6"/>
  <c r="M12" i="6"/>
  <c r="J12" i="6"/>
  <c r="U12" i="6" s="1"/>
  <c r="AK12" i="6" s="1"/>
  <c r="I12" i="6"/>
  <c r="AI12" i="6" s="1"/>
  <c r="AJ11" i="6"/>
  <c r="AI11" i="6"/>
  <c r="AH11" i="6"/>
  <c r="AE11" i="6"/>
  <c r="AA11" i="6"/>
  <c r="Y11" i="6"/>
  <c r="T11" i="6"/>
  <c r="O11" i="6"/>
  <c r="M11" i="6"/>
  <c r="J11" i="6"/>
  <c r="I11" i="6"/>
  <c r="AH10" i="6"/>
  <c r="AJ10" i="6" s="1"/>
  <c r="AE10" i="6"/>
  <c r="AA10" i="6"/>
  <c r="Y10" i="6"/>
  <c r="T10" i="6"/>
  <c r="O10" i="6"/>
  <c r="M10" i="6"/>
  <c r="J10" i="6"/>
  <c r="U10" i="6" s="1"/>
  <c r="AK10" i="6" s="1"/>
  <c r="I10" i="6"/>
  <c r="AI10" i="6" s="1"/>
  <c r="AJ9" i="6"/>
  <c r="AI9" i="6"/>
  <c r="AH9" i="6"/>
  <c r="AE9" i="6"/>
  <c r="AA9" i="6"/>
  <c r="Y9" i="6"/>
  <c r="T9" i="6"/>
  <c r="O9" i="6"/>
  <c r="M9" i="6"/>
  <c r="J9" i="6"/>
  <c r="U9" i="6" s="1"/>
  <c r="I9" i="6"/>
  <c r="AH8" i="6"/>
  <c r="AJ8" i="6" s="1"/>
  <c r="AE8" i="6"/>
  <c r="AA8" i="6"/>
  <c r="Y8" i="6"/>
  <c r="T8" i="6"/>
  <c r="O8" i="6"/>
  <c r="M8" i="6"/>
  <c r="J8" i="6"/>
  <c r="U8" i="6" s="1"/>
  <c r="AK8" i="6" s="1"/>
  <c r="I8" i="6"/>
  <c r="AI8" i="6" s="1"/>
  <c r="AJ7" i="6"/>
  <c r="AI7" i="6"/>
  <c r="AH7" i="6"/>
  <c r="AE7" i="6"/>
  <c r="AA7" i="6"/>
  <c r="Y7" i="6"/>
  <c r="T7" i="6"/>
  <c r="O7" i="6"/>
  <c r="M7" i="6"/>
  <c r="J7" i="6"/>
  <c r="I7" i="6"/>
  <c r="AH6" i="6"/>
  <c r="AJ6" i="6" s="1"/>
  <c r="AE6" i="6"/>
  <c r="AA6" i="6"/>
  <c r="Y6" i="6"/>
  <c r="T6" i="6"/>
  <c r="O6" i="6"/>
  <c r="M6" i="6"/>
  <c r="J6" i="6"/>
  <c r="U6" i="6" s="1"/>
  <c r="AK6" i="6" s="1"/>
  <c r="I6" i="6"/>
  <c r="AI6" i="6" s="1"/>
  <c r="AJ5" i="6"/>
  <c r="AI5" i="6"/>
  <c r="AH5" i="6"/>
  <c r="AE5" i="6"/>
  <c r="AA5" i="6"/>
  <c r="Y5" i="6"/>
  <c r="T5" i="6"/>
  <c r="O5" i="6"/>
  <c r="M5" i="6"/>
  <c r="J5" i="6"/>
  <c r="U5" i="6" s="1"/>
  <c r="I5" i="6"/>
  <c r="AH4" i="6"/>
  <c r="AJ4" i="6" s="1"/>
  <c r="AE4" i="6"/>
  <c r="AA4" i="6"/>
  <c r="Y4" i="6"/>
  <c r="T4" i="6"/>
  <c r="O4" i="6"/>
  <c r="M4" i="6"/>
  <c r="J4" i="6"/>
  <c r="U4" i="6" s="1"/>
  <c r="AK4" i="6" s="1"/>
  <c r="I4" i="6"/>
  <c r="AI4" i="6" s="1"/>
  <c r="AI3" i="6"/>
  <c r="AH3" i="6"/>
  <c r="AJ3" i="6" s="1"/>
  <c r="AL3" i="6" s="1"/>
  <c r="AE3" i="6"/>
  <c r="AA3" i="6"/>
  <c r="Y3" i="6"/>
  <c r="T3" i="6"/>
  <c r="O3" i="6"/>
  <c r="M3" i="6"/>
  <c r="J3" i="6"/>
  <c r="U3" i="6" s="1"/>
  <c r="AK3" i="6" s="1"/>
  <c r="I3" i="6"/>
  <c r="AH25" i="5"/>
  <c r="AA25" i="5"/>
  <c r="Y25" i="5"/>
  <c r="T25" i="5"/>
  <c r="O25" i="5"/>
  <c r="M25" i="5"/>
  <c r="J25" i="5"/>
  <c r="I25" i="5"/>
  <c r="AI25" i="5" s="1"/>
  <c r="AJ25" i="5" s="1"/>
  <c r="AE24" i="5"/>
  <c r="AA24" i="5"/>
  <c r="Y24" i="5"/>
  <c r="AH24" i="5" s="1"/>
  <c r="T24" i="5"/>
  <c r="O24" i="5"/>
  <c r="M24" i="5"/>
  <c r="J24" i="5"/>
  <c r="I24" i="5"/>
  <c r="AI24" i="5" s="1"/>
  <c r="AE23" i="5"/>
  <c r="AA23" i="5"/>
  <c r="Y23" i="5"/>
  <c r="AH23" i="5" s="1"/>
  <c r="T23" i="5"/>
  <c r="O23" i="5"/>
  <c r="M23" i="5"/>
  <c r="J23" i="5"/>
  <c r="I23" i="5"/>
  <c r="AI23" i="5" s="1"/>
  <c r="AE22" i="5"/>
  <c r="AA22" i="5"/>
  <c r="Y22" i="5"/>
  <c r="AH22" i="5" s="1"/>
  <c r="T22" i="5"/>
  <c r="O22" i="5"/>
  <c r="M22" i="5"/>
  <c r="J22" i="5"/>
  <c r="I22" i="5"/>
  <c r="AI22" i="5" s="1"/>
  <c r="AE21" i="5"/>
  <c r="AA21" i="5"/>
  <c r="Y21" i="5"/>
  <c r="AH21" i="5" s="1"/>
  <c r="T21" i="5"/>
  <c r="O21" i="5"/>
  <c r="M21" i="5"/>
  <c r="J21" i="5"/>
  <c r="I21" i="5"/>
  <c r="AI21" i="5" s="1"/>
  <c r="AE20" i="5"/>
  <c r="AA20" i="5"/>
  <c r="Y20" i="5"/>
  <c r="AH20" i="5" s="1"/>
  <c r="T20" i="5"/>
  <c r="O20" i="5"/>
  <c r="M20" i="5"/>
  <c r="J20" i="5"/>
  <c r="I20" i="5"/>
  <c r="AI20" i="5" s="1"/>
  <c r="AE19" i="5"/>
  <c r="AA19" i="5"/>
  <c r="Y19" i="5"/>
  <c r="AH19" i="5" s="1"/>
  <c r="T19" i="5"/>
  <c r="O19" i="5"/>
  <c r="M19" i="5"/>
  <c r="J19" i="5"/>
  <c r="I19" i="5"/>
  <c r="AI19" i="5" s="1"/>
  <c r="AE18" i="5"/>
  <c r="AA18" i="5"/>
  <c r="Y18" i="5"/>
  <c r="AH18" i="5" s="1"/>
  <c r="T18" i="5"/>
  <c r="O18" i="5"/>
  <c r="M18" i="5"/>
  <c r="J18" i="5"/>
  <c r="I18" i="5"/>
  <c r="AI18" i="5" s="1"/>
  <c r="AE17" i="5"/>
  <c r="AA17" i="5"/>
  <c r="Y17" i="5"/>
  <c r="AH17" i="5" s="1"/>
  <c r="T17" i="5"/>
  <c r="O17" i="5"/>
  <c r="M17" i="5"/>
  <c r="J17" i="5"/>
  <c r="I17" i="5"/>
  <c r="AI17" i="5" s="1"/>
  <c r="AH16" i="5"/>
  <c r="AJ16" i="5" s="1"/>
  <c r="AE16" i="5"/>
  <c r="AA16" i="5"/>
  <c r="Y16" i="5"/>
  <c r="T16" i="5"/>
  <c r="O16" i="5"/>
  <c r="M16" i="5"/>
  <c r="J16" i="5"/>
  <c r="U16" i="5" s="1"/>
  <c r="AK16" i="5" s="1"/>
  <c r="I16" i="5"/>
  <c r="AI16" i="5" s="1"/>
  <c r="AE15" i="5"/>
  <c r="AA15" i="5"/>
  <c r="Y15" i="5"/>
  <c r="AH15" i="5" s="1"/>
  <c r="T15" i="5"/>
  <c r="O15" i="5"/>
  <c r="M15" i="5"/>
  <c r="J15" i="5"/>
  <c r="I15" i="5"/>
  <c r="AI15" i="5" s="1"/>
  <c r="AH14" i="5"/>
  <c r="AE14" i="5"/>
  <c r="AA14" i="5"/>
  <c r="Y14" i="5"/>
  <c r="T14" i="5"/>
  <c r="O14" i="5"/>
  <c r="M14" i="5"/>
  <c r="J14" i="5"/>
  <c r="U14" i="5" s="1"/>
  <c r="AK14" i="5" s="1"/>
  <c r="I14" i="5"/>
  <c r="AI14" i="5" s="1"/>
  <c r="AE13" i="5"/>
  <c r="AA13" i="5"/>
  <c r="Y13" i="5"/>
  <c r="AH13" i="5" s="1"/>
  <c r="T13" i="5"/>
  <c r="O13" i="5"/>
  <c r="M13" i="5"/>
  <c r="J13" i="5"/>
  <c r="I13" i="5"/>
  <c r="AI13" i="5" s="1"/>
  <c r="AH12" i="5"/>
  <c r="AJ12" i="5" s="1"/>
  <c r="AE12" i="5"/>
  <c r="AA12" i="5"/>
  <c r="Y12" i="5"/>
  <c r="T12" i="5"/>
  <c r="O12" i="5"/>
  <c r="M12" i="5"/>
  <c r="J12" i="5"/>
  <c r="U12" i="5" s="1"/>
  <c r="AK12" i="5" s="1"/>
  <c r="I12" i="5"/>
  <c r="AI12" i="5" s="1"/>
  <c r="AE11" i="5"/>
  <c r="AA11" i="5"/>
  <c r="Y11" i="5"/>
  <c r="AH11" i="5" s="1"/>
  <c r="T11" i="5"/>
  <c r="O11" i="5"/>
  <c r="M11" i="5"/>
  <c r="J11" i="5"/>
  <c r="I11" i="5"/>
  <c r="AI11" i="5" s="1"/>
  <c r="AH10" i="5"/>
  <c r="AE10" i="5"/>
  <c r="AA10" i="5"/>
  <c r="Y10" i="5"/>
  <c r="T10" i="5"/>
  <c r="O10" i="5"/>
  <c r="M10" i="5"/>
  <c r="J10" i="5"/>
  <c r="U10" i="5" s="1"/>
  <c r="AK10" i="5" s="1"/>
  <c r="I10" i="5"/>
  <c r="AI10" i="5" s="1"/>
  <c r="AE9" i="5"/>
  <c r="AA9" i="5"/>
  <c r="Y9" i="5"/>
  <c r="AH9" i="5" s="1"/>
  <c r="T9" i="5"/>
  <c r="O9" i="5"/>
  <c r="M9" i="5"/>
  <c r="J9" i="5"/>
  <c r="I9" i="5"/>
  <c r="AI9" i="5" s="1"/>
  <c r="AH8" i="5"/>
  <c r="AJ8" i="5" s="1"/>
  <c r="AE8" i="5"/>
  <c r="AA8" i="5"/>
  <c r="Y8" i="5"/>
  <c r="T8" i="5"/>
  <c r="O8" i="5"/>
  <c r="M8" i="5"/>
  <c r="J8" i="5"/>
  <c r="U8" i="5" s="1"/>
  <c r="AK8" i="5" s="1"/>
  <c r="I8" i="5"/>
  <c r="AI8" i="5" s="1"/>
  <c r="AE7" i="5"/>
  <c r="AA7" i="5"/>
  <c r="Y7" i="5"/>
  <c r="AH7" i="5" s="1"/>
  <c r="T7" i="5"/>
  <c r="O7" i="5"/>
  <c r="M7" i="5"/>
  <c r="J7" i="5"/>
  <c r="I7" i="5"/>
  <c r="AI7" i="5" s="1"/>
  <c r="AH6" i="5"/>
  <c r="AE6" i="5"/>
  <c r="AA6" i="5"/>
  <c r="Y6" i="5"/>
  <c r="T6" i="5"/>
  <c r="O6" i="5"/>
  <c r="M6" i="5"/>
  <c r="J6" i="5"/>
  <c r="U6" i="5" s="1"/>
  <c r="AK6" i="5" s="1"/>
  <c r="I6" i="5"/>
  <c r="AI6" i="5" s="1"/>
  <c r="AE5" i="5"/>
  <c r="AA5" i="5"/>
  <c r="Y5" i="5"/>
  <c r="AH5" i="5" s="1"/>
  <c r="T5" i="5"/>
  <c r="O5" i="5"/>
  <c r="M5" i="5"/>
  <c r="J5" i="5"/>
  <c r="I5" i="5"/>
  <c r="AI5" i="5" s="1"/>
  <c r="AH4" i="5"/>
  <c r="AJ4" i="5" s="1"/>
  <c r="AE4" i="5"/>
  <c r="AA4" i="5"/>
  <c r="Y4" i="5"/>
  <c r="T4" i="5"/>
  <c r="O4" i="5"/>
  <c r="M4" i="5"/>
  <c r="J4" i="5"/>
  <c r="U4" i="5" s="1"/>
  <c r="AK4" i="5" s="1"/>
  <c r="I4" i="5"/>
  <c r="AI4" i="5" s="1"/>
  <c r="AE3" i="5"/>
  <c r="AA3" i="5"/>
  <c r="Y3" i="5"/>
  <c r="AH3" i="5" s="1"/>
  <c r="T3" i="5"/>
  <c r="O3" i="5"/>
  <c r="M3" i="5"/>
  <c r="J3" i="5"/>
  <c r="I3" i="5"/>
  <c r="AI3" i="5" s="1"/>
  <c r="AH25" i="4"/>
  <c r="AE25" i="4"/>
  <c r="AA25" i="4"/>
  <c r="Y25" i="4"/>
  <c r="T25" i="4"/>
  <c r="O25" i="4"/>
  <c r="M25" i="4"/>
  <c r="J25" i="4"/>
  <c r="U25" i="4" s="1"/>
  <c r="AK25" i="4" s="1"/>
  <c r="I25" i="4"/>
  <c r="AI25" i="4" s="1"/>
  <c r="AE24" i="4"/>
  <c r="AA24" i="4"/>
  <c r="Y24" i="4"/>
  <c r="AH24" i="4" s="1"/>
  <c r="T24" i="4"/>
  <c r="O24" i="4"/>
  <c r="M24" i="4"/>
  <c r="J24" i="4"/>
  <c r="I24" i="4"/>
  <c r="AI24" i="4" s="1"/>
  <c r="AH23" i="4"/>
  <c r="AJ23" i="4" s="1"/>
  <c r="AE23" i="4"/>
  <c r="AA23" i="4"/>
  <c r="Y23" i="4"/>
  <c r="T23" i="4"/>
  <c r="O23" i="4"/>
  <c r="M23" i="4"/>
  <c r="J23" i="4"/>
  <c r="U23" i="4" s="1"/>
  <c r="AK23" i="4" s="1"/>
  <c r="I23" i="4"/>
  <c r="AI23" i="4" s="1"/>
  <c r="AE22" i="4"/>
  <c r="AA22" i="4"/>
  <c r="Y22" i="4"/>
  <c r="AH22" i="4" s="1"/>
  <c r="T22" i="4"/>
  <c r="O22" i="4"/>
  <c r="M22" i="4"/>
  <c r="J22" i="4"/>
  <c r="I22" i="4"/>
  <c r="AI22" i="4" s="1"/>
  <c r="AH21" i="4"/>
  <c r="AE21" i="4"/>
  <c r="AA21" i="4"/>
  <c r="Y21" i="4"/>
  <c r="T21" i="4"/>
  <c r="O21" i="4"/>
  <c r="M21" i="4"/>
  <c r="J21" i="4"/>
  <c r="U21" i="4" s="1"/>
  <c r="AK21" i="4" s="1"/>
  <c r="I21" i="4"/>
  <c r="AI21" i="4" s="1"/>
  <c r="AE20" i="4"/>
  <c r="AA20" i="4"/>
  <c r="Y20" i="4"/>
  <c r="AH20" i="4" s="1"/>
  <c r="T20" i="4"/>
  <c r="O20" i="4"/>
  <c r="M20" i="4"/>
  <c r="J20" i="4"/>
  <c r="I20" i="4"/>
  <c r="AI20" i="4" s="1"/>
  <c r="AE19" i="4"/>
  <c r="AA19" i="4"/>
  <c r="Y19" i="4"/>
  <c r="AH19" i="4" s="1"/>
  <c r="T19" i="4"/>
  <c r="O19" i="4"/>
  <c r="M19" i="4"/>
  <c r="J19" i="4"/>
  <c r="I19" i="4"/>
  <c r="AI19" i="4" s="1"/>
  <c r="AE18" i="4"/>
  <c r="AA18" i="4"/>
  <c r="Y18" i="4"/>
  <c r="AH18" i="4" s="1"/>
  <c r="T18" i="4"/>
  <c r="O18" i="4"/>
  <c r="M18" i="4"/>
  <c r="J18" i="4"/>
  <c r="I18" i="4"/>
  <c r="AI18" i="4" s="1"/>
  <c r="AE17" i="4"/>
  <c r="AA17" i="4"/>
  <c r="Y17" i="4"/>
  <c r="AH17" i="4" s="1"/>
  <c r="T17" i="4"/>
  <c r="O17" i="4"/>
  <c r="M17" i="4"/>
  <c r="J17" i="4"/>
  <c r="I17" i="4"/>
  <c r="AI17" i="4" s="1"/>
  <c r="AE16" i="4"/>
  <c r="AA16" i="4"/>
  <c r="Y16" i="4"/>
  <c r="AH16" i="4" s="1"/>
  <c r="T16" i="4"/>
  <c r="O16" i="4"/>
  <c r="M16" i="4"/>
  <c r="J16" i="4"/>
  <c r="I16" i="4"/>
  <c r="AI16" i="4" s="1"/>
  <c r="AE15" i="4"/>
  <c r="AA15" i="4"/>
  <c r="Y15" i="4"/>
  <c r="AH15" i="4" s="1"/>
  <c r="T15" i="4"/>
  <c r="O15" i="4"/>
  <c r="M15" i="4"/>
  <c r="J15" i="4"/>
  <c r="I15" i="4"/>
  <c r="AI15" i="4" s="1"/>
  <c r="AE14" i="4"/>
  <c r="AA14" i="4"/>
  <c r="Y14" i="4"/>
  <c r="AH14" i="4" s="1"/>
  <c r="T14" i="4"/>
  <c r="O14" i="4"/>
  <c r="M14" i="4"/>
  <c r="J14" i="4"/>
  <c r="I14" i="4"/>
  <c r="AI14" i="4" s="1"/>
  <c r="AE13" i="4"/>
  <c r="AA13" i="4"/>
  <c r="Y13" i="4"/>
  <c r="AH13" i="4" s="1"/>
  <c r="T13" i="4"/>
  <c r="O13" i="4"/>
  <c r="M13" i="4"/>
  <c r="J13" i="4"/>
  <c r="I13" i="4"/>
  <c r="AI13" i="4" s="1"/>
  <c r="AE12" i="4"/>
  <c r="AA12" i="4"/>
  <c r="Y12" i="4"/>
  <c r="AH12" i="4" s="1"/>
  <c r="T12" i="4"/>
  <c r="O12" i="4"/>
  <c r="M12" i="4"/>
  <c r="J12" i="4"/>
  <c r="I12" i="4"/>
  <c r="AI12" i="4" s="1"/>
  <c r="AE11" i="4"/>
  <c r="AA11" i="4"/>
  <c r="Y11" i="4"/>
  <c r="AH11" i="4" s="1"/>
  <c r="T11" i="4"/>
  <c r="O11" i="4"/>
  <c r="M11" i="4"/>
  <c r="J11" i="4"/>
  <c r="I11" i="4"/>
  <c r="AI11" i="4" s="1"/>
  <c r="AE10" i="4"/>
  <c r="AA10" i="4"/>
  <c r="Y10" i="4"/>
  <c r="AH10" i="4" s="1"/>
  <c r="T10" i="4"/>
  <c r="O10" i="4"/>
  <c r="M10" i="4"/>
  <c r="J10" i="4"/>
  <c r="I10" i="4"/>
  <c r="AI10" i="4" s="1"/>
  <c r="AE9" i="4"/>
  <c r="AA9" i="4"/>
  <c r="Y9" i="4"/>
  <c r="AH9" i="4" s="1"/>
  <c r="T9" i="4"/>
  <c r="O9" i="4"/>
  <c r="M9" i="4"/>
  <c r="J9" i="4"/>
  <c r="I9" i="4"/>
  <c r="AI9" i="4" s="1"/>
  <c r="AE8" i="4"/>
  <c r="AA8" i="4"/>
  <c r="Y8" i="4"/>
  <c r="AH8" i="4" s="1"/>
  <c r="T8" i="4"/>
  <c r="O8" i="4"/>
  <c r="M8" i="4"/>
  <c r="J8" i="4"/>
  <c r="I8" i="4"/>
  <c r="AI8" i="4" s="1"/>
  <c r="AE7" i="4"/>
  <c r="AA7" i="4"/>
  <c r="Y7" i="4"/>
  <c r="AH7" i="4" s="1"/>
  <c r="T7" i="4"/>
  <c r="O7" i="4"/>
  <c r="M7" i="4"/>
  <c r="J7" i="4"/>
  <c r="I7" i="4"/>
  <c r="AI7" i="4" s="1"/>
  <c r="AE6" i="4"/>
  <c r="AA6" i="4"/>
  <c r="Y6" i="4"/>
  <c r="AH6" i="4" s="1"/>
  <c r="T6" i="4"/>
  <c r="O6" i="4"/>
  <c r="M6" i="4"/>
  <c r="J6" i="4"/>
  <c r="I6" i="4"/>
  <c r="AI6" i="4" s="1"/>
  <c r="AE5" i="4"/>
  <c r="AA5" i="4"/>
  <c r="Y5" i="4"/>
  <c r="AH5" i="4" s="1"/>
  <c r="T5" i="4"/>
  <c r="O5" i="4"/>
  <c r="M5" i="4"/>
  <c r="J5" i="4"/>
  <c r="I5" i="4"/>
  <c r="AI5" i="4" s="1"/>
  <c r="AE4" i="4"/>
  <c r="AA4" i="4"/>
  <c r="Y4" i="4"/>
  <c r="AH4" i="4" s="1"/>
  <c r="T4" i="4"/>
  <c r="O4" i="4"/>
  <c r="M4" i="4"/>
  <c r="J4" i="4"/>
  <c r="I4" i="4"/>
  <c r="AI4" i="4" s="1"/>
  <c r="AE3" i="4"/>
  <c r="AA3" i="4"/>
  <c r="Y3" i="4"/>
  <c r="AH3" i="4" s="1"/>
  <c r="T3" i="4"/>
  <c r="O3" i="4"/>
  <c r="M3" i="4"/>
  <c r="J3" i="4"/>
  <c r="I3" i="4"/>
  <c r="AI3" i="4" s="1"/>
  <c r="AI33" i="3"/>
  <c r="AE33" i="3"/>
  <c r="AA33" i="3"/>
  <c r="Y33" i="3"/>
  <c r="AH33" i="3" s="1"/>
  <c r="T33" i="3"/>
  <c r="M33" i="3"/>
  <c r="J33" i="3"/>
  <c r="U33" i="3" s="1"/>
  <c r="AK33" i="3" s="1"/>
  <c r="I33" i="3"/>
  <c r="AH32" i="3"/>
  <c r="AJ32" i="3" s="1"/>
  <c r="AL32" i="3" s="1"/>
  <c r="AE32" i="3"/>
  <c r="AA32" i="3"/>
  <c r="Y32" i="3"/>
  <c r="U32" i="3"/>
  <c r="AK32" i="3" s="1"/>
  <c r="T32" i="3"/>
  <c r="M32" i="3"/>
  <c r="J32" i="3"/>
  <c r="I32" i="3"/>
  <c r="AI32" i="3" s="1"/>
  <c r="AI31" i="3"/>
  <c r="AE31" i="3"/>
  <c r="AA31" i="3"/>
  <c r="Y31" i="3"/>
  <c r="AH31" i="3" s="1"/>
  <c r="T31" i="3"/>
  <c r="M31" i="3"/>
  <c r="J31" i="3"/>
  <c r="U31" i="3" s="1"/>
  <c r="AK31" i="3" s="1"/>
  <c r="I31" i="3"/>
  <c r="AH30" i="3"/>
  <c r="AJ30" i="3" s="1"/>
  <c r="AL30" i="3" s="1"/>
  <c r="AE30" i="3"/>
  <c r="AA30" i="3"/>
  <c r="Y30" i="3"/>
  <c r="U30" i="3"/>
  <c r="AK30" i="3" s="1"/>
  <c r="T30" i="3"/>
  <c r="M30" i="3"/>
  <c r="J30" i="3"/>
  <c r="I30" i="3"/>
  <c r="AI30" i="3" s="1"/>
  <c r="AI29" i="3"/>
  <c r="AE29" i="3"/>
  <c r="AA29" i="3"/>
  <c r="Y29" i="3"/>
  <c r="AH29" i="3" s="1"/>
  <c r="T29" i="3"/>
  <c r="M29" i="3"/>
  <c r="J29" i="3"/>
  <c r="U29" i="3" s="1"/>
  <c r="AK29" i="3" s="1"/>
  <c r="I29" i="3"/>
  <c r="AH28" i="3"/>
  <c r="AJ28" i="3" s="1"/>
  <c r="AL28" i="3" s="1"/>
  <c r="AE28" i="3"/>
  <c r="AA28" i="3"/>
  <c r="Y28" i="3"/>
  <c r="U28" i="3"/>
  <c r="AK28" i="3" s="1"/>
  <c r="T28" i="3"/>
  <c r="M28" i="3"/>
  <c r="J28" i="3"/>
  <c r="I28" i="3"/>
  <c r="AI28" i="3" s="1"/>
  <c r="AI27" i="3"/>
  <c r="AE27" i="3"/>
  <c r="AA27" i="3"/>
  <c r="Y27" i="3"/>
  <c r="AH27" i="3" s="1"/>
  <c r="T27" i="3"/>
  <c r="M27" i="3"/>
  <c r="J27" i="3"/>
  <c r="U27" i="3" s="1"/>
  <c r="AK27" i="3" s="1"/>
  <c r="I27" i="3"/>
  <c r="AH26" i="3"/>
  <c r="AJ26" i="3" s="1"/>
  <c r="AL26" i="3" s="1"/>
  <c r="AE26" i="3"/>
  <c r="AA26" i="3"/>
  <c r="Y26" i="3"/>
  <c r="U26" i="3"/>
  <c r="AK26" i="3" s="1"/>
  <c r="T26" i="3"/>
  <c r="M26" i="3"/>
  <c r="J26" i="3"/>
  <c r="I26" i="3"/>
  <c r="AI26" i="3" s="1"/>
  <c r="AI25" i="3"/>
  <c r="AE25" i="3"/>
  <c r="AA25" i="3"/>
  <c r="Y25" i="3"/>
  <c r="AH25" i="3" s="1"/>
  <c r="T25" i="3"/>
  <c r="M25" i="3"/>
  <c r="J25" i="3"/>
  <c r="U25" i="3" s="1"/>
  <c r="AK25" i="3" s="1"/>
  <c r="I25" i="3"/>
  <c r="AH24" i="3"/>
  <c r="AJ24" i="3" s="1"/>
  <c r="AL24" i="3" s="1"/>
  <c r="AE24" i="3"/>
  <c r="AA24" i="3"/>
  <c r="Y24" i="3"/>
  <c r="U24" i="3"/>
  <c r="AK24" i="3" s="1"/>
  <c r="T24" i="3"/>
  <c r="M24" i="3"/>
  <c r="J24" i="3"/>
  <c r="I24" i="3"/>
  <c r="AI24" i="3" s="1"/>
  <c r="AI23" i="3"/>
  <c r="AE23" i="3"/>
  <c r="AA23" i="3"/>
  <c r="Y23" i="3"/>
  <c r="AH23" i="3" s="1"/>
  <c r="T23" i="3"/>
  <c r="M23" i="3"/>
  <c r="J23" i="3"/>
  <c r="U23" i="3" s="1"/>
  <c r="AK23" i="3" s="1"/>
  <c r="I23" i="3"/>
  <c r="AH22" i="3"/>
  <c r="AJ22" i="3" s="1"/>
  <c r="AL22" i="3" s="1"/>
  <c r="AE22" i="3"/>
  <c r="AA22" i="3"/>
  <c r="Y22" i="3"/>
  <c r="U22" i="3"/>
  <c r="AK22" i="3" s="1"/>
  <c r="T22" i="3"/>
  <c r="M22" i="3"/>
  <c r="J22" i="3"/>
  <c r="I22" i="3"/>
  <c r="AI22" i="3" s="1"/>
  <c r="AI21" i="3"/>
  <c r="AE21" i="3"/>
  <c r="AA21" i="3"/>
  <c r="Y21" i="3"/>
  <c r="AH21" i="3" s="1"/>
  <c r="T21" i="3"/>
  <c r="M21" i="3"/>
  <c r="J21" i="3"/>
  <c r="U21" i="3" s="1"/>
  <c r="AK21" i="3" s="1"/>
  <c r="I21" i="3"/>
  <c r="AH20" i="3"/>
  <c r="AJ20" i="3" s="1"/>
  <c r="AL20" i="3" s="1"/>
  <c r="AE20" i="3"/>
  <c r="AA20" i="3"/>
  <c r="Y20" i="3"/>
  <c r="U20" i="3"/>
  <c r="AK20" i="3" s="1"/>
  <c r="T20" i="3"/>
  <c r="M20" i="3"/>
  <c r="J20" i="3"/>
  <c r="I20" i="3"/>
  <c r="AI20" i="3" s="1"/>
  <c r="AI19" i="3"/>
  <c r="AE19" i="3"/>
  <c r="AA19" i="3"/>
  <c r="Y19" i="3"/>
  <c r="AH19" i="3" s="1"/>
  <c r="T19" i="3"/>
  <c r="M19" i="3"/>
  <c r="J19" i="3"/>
  <c r="U19" i="3" s="1"/>
  <c r="AK19" i="3" s="1"/>
  <c r="I19" i="3"/>
  <c r="AH18" i="3"/>
  <c r="AJ18" i="3" s="1"/>
  <c r="AL18" i="3" s="1"/>
  <c r="AE18" i="3"/>
  <c r="AA18" i="3"/>
  <c r="Y18" i="3"/>
  <c r="U18" i="3"/>
  <c r="AK18" i="3" s="1"/>
  <c r="T18" i="3"/>
  <c r="M18" i="3"/>
  <c r="J18" i="3"/>
  <c r="I18" i="3"/>
  <c r="AI18" i="3" s="1"/>
  <c r="AI17" i="3"/>
  <c r="AE17" i="3"/>
  <c r="AA17" i="3"/>
  <c r="Y17" i="3"/>
  <c r="AH17" i="3" s="1"/>
  <c r="T17" i="3"/>
  <c r="M17" i="3"/>
  <c r="J17" i="3"/>
  <c r="U17" i="3" s="1"/>
  <c r="AK17" i="3" s="1"/>
  <c r="I17" i="3"/>
  <c r="AH16" i="3"/>
  <c r="AJ16" i="3" s="1"/>
  <c r="AL16" i="3" s="1"/>
  <c r="AE16" i="3"/>
  <c r="AA16" i="3"/>
  <c r="Y16" i="3"/>
  <c r="U16" i="3"/>
  <c r="AK16" i="3" s="1"/>
  <c r="T16" i="3"/>
  <c r="M16" i="3"/>
  <c r="J16" i="3"/>
  <c r="I16" i="3"/>
  <c r="AI16" i="3" s="1"/>
  <c r="AI15" i="3"/>
  <c r="AE15" i="3"/>
  <c r="AA15" i="3"/>
  <c r="Y15" i="3"/>
  <c r="AH15" i="3" s="1"/>
  <c r="T15" i="3"/>
  <c r="M15" i="3"/>
  <c r="J15" i="3"/>
  <c r="U15" i="3" s="1"/>
  <c r="AK15" i="3" s="1"/>
  <c r="I15" i="3"/>
  <c r="AH14" i="3"/>
  <c r="AJ14" i="3" s="1"/>
  <c r="AL14" i="3" s="1"/>
  <c r="AE14" i="3"/>
  <c r="AA14" i="3"/>
  <c r="Y14" i="3"/>
  <c r="U14" i="3"/>
  <c r="AK14" i="3" s="1"/>
  <c r="T14" i="3"/>
  <c r="M14" i="3"/>
  <c r="J14" i="3"/>
  <c r="I14" i="3"/>
  <c r="AI14" i="3" s="1"/>
  <c r="AI13" i="3"/>
  <c r="AE13" i="3"/>
  <c r="AA13" i="3"/>
  <c r="Y13" i="3"/>
  <c r="AH13" i="3" s="1"/>
  <c r="T13" i="3"/>
  <c r="M13" i="3"/>
  <c r="J13" i="3"/>
  <c r="U13" i="3" s="1"/>
  <c r="AK13" i="3" s="1"/>
  <c r="I13" i="3"/>
  <c r="AH12" i="3"/>
  <c r="AJ12" i="3" s="1"/>
  <c r="AL12" i="3" s="1"/>
  <c r="AE12" i="3"/>
  <c r="AA12" i="3"/>
  <c r="Y12" i="3"/>
  <c r="U12" i="3"/>
  <c r="AK12" i="3" s="1"/>
  <c r="T12" i="3"/>
  <c r="M12" i="3"/>
  <c r="J12" i="3"/>
  <c r="I12" i="3"/>
  <c r="AI12" i="3" s="1"/>
  <c r="AI11" i="3"/>
  <c r="AE11" i="3"/>
  <c r="AA11" i="3"/>
  <c r="Y11" i="3"/>
  <c r="AH11" i="3" s="1"/>
  <c r="T11" i="3"/>
  <c r="M11" i="3"/>
  <c r="J11" i="3"/>
  <c r="U11" i="3" s="1"/>
  <c r="AK11" i="3" s="1"/>
  <c r="I11" i="3"/>
  <c r="AH10" i="3"/>
  <c r="AJ10" i="3" s="1"/>
  <c r="AE10" i="3"/>
  <c r="AA10" i="3"/>
  <c r="Y10" i="3"/>
  <c r="T10" i="3"/>
  <c r="O10" i="3"/>
  <c r="M10" i="3"/>
  <c r="J10" i="3"/>
  <c r="U10" i="3" s="1"/>
  <c r="AK10" i="3" s="1"/>
  <c r="I10" i="3"/>
  <c r="AI10" i="3" s="1"/>
  <c r="AH9" i="3"/>
  <c r="AJ9" i="3" s="1"/>
  <c r="AE9" i="3"/>
  <c r="AA9" i="3"/>
  <c r="Y9" i="3"/>
  <c r="T9" i="3"/>
  <c r="O9" i="3"/>
  <c r="M9" i="3"/>
  <c r="J9" i="3"/>
  <c r="U9" i="3" s="1"/>
  <c r="AK9" i="3" s="1"/>
  <c r="I9" i="3"/>
  <c r="AI9" i="3" s="1"/>
  <c r="AH8" i="3"/>
  <c r="AJ8" i="3" s="1"/>
  <c r="AL8" i="3" s="1"/>
  <c r="AE8" i="3"/>
  <c r="AA8" i="3"/>
  <c r="Y8" i="3"/>
  <c r="T8" i="3"/>
  <c r="O8" i="3"/>
  <c r="M8" i="3"/>
  <c r="J8" i="3"/>
  <c r="U8" i="3" s="1"/>
  <c r="AK8" i="3" s="1"/>
  <c r="I8" i="3"/>
  <c r="AI8" i="3" s="1"/>
  <c r="AH7" i="3"/>
  <c r="AJ7" i="3" s="1"/>
  <c r="AL7" i="3" s="1"/>
  <c r="AE7" i="3"/>
  <c r="AA7" i="3"/>
  <c r="Y7" i="3"/>
  <c r="T7" i="3"/>
  <c r="O7" i="3"/>
  <c r="M7" i="3"/>
  <c r="J7" i="3"/>
  <c r="U7" i="3" s="1"/>
  <c r="AK7" i="3" s="1"/>
  <c r="I7" i="3"/>
  <c r="AI7" i="3" s="1"/>
  <c r="AH6" i="3"/>
  <c r="AJ6" i="3" s="1"/>
  <c r="AE6" i="3"/>
  <c r="AA6" i="3"/>
  <c r="Y6" i="3"/>
  <c r="T6" i="3"/>
  <c r="O6" i="3"/>
  <c r="M6" i="3"/>
  <c r="J6" i="3"/>
  <c r="U6" i="3" s="1"/>
  <c r="AK6" i="3" s="1"/>
  <c r="I6" i="3"/>
  <c r="AI6" i="3" s="1"/>
  <c r="AH5" i="3"/>
  <c r="AJ5" i="3" s="1"/>
  <c r="AE5" i="3"/>
  <c r="AA5" i="3"/>
  <c r="Y5" i="3"/>
  <c r="T5" i="3"/>
  <c r="O5" i="3"/>
  <c r="M5" i="3"/>
  <c r="J5" i="3"/>
  <c r="U5" i="3" s="1"/>
  <c r="AK5" i="3" s="1"/>
  <c r="I5" i="3"/>
  <c r="AI5" i="3" s="1"/>
  <c r="AH4" i="3"/>
  <c r="AJ4" i="3" s="1"/>
  <c r="AL4" i="3" s="1"/>
  <c r="AE4" i="3"/>
  <c r="AA4" i="3"/>
  <c r="Y4" i="3"/>
  <c r="T4" i="3"/>
  <c r="O4" i="3"/>
  <c r="M4" i="3"/>
  <c r="J4" i="3"/>
  <c r="U4" i="3" s="1"/>
  <c r="AK4" i="3" s="1"/>
  <c r="I4" i="3"/>
  <c r="AI4" i="3" s="1"/>
  <c r="AH3" i="3"/>
  <c r="AJ3" i="3" s="1"/>
  <c r="AL3" i="3" s="1"/>
  <c r="AE3" i="3"/>
  <c r="AA3" i="3"/>
  <c r="Y3" i="3"/>
  <c r="T3" i="3"/>
  <c r="O3" i="3"/>
  <c r="M3" i="3"/>
  <c r="J3" i="3"/>
  <c r="U3" i="3" s="1"/>
  <c r="AK3" i="3" s="1"/>
  <c r="I3" i="3"/>
  <c r="AI3" i="3" s="1"/>
  <c r="AF23" i="2"/>
  <c r="AH23" i="2" s="1"/>
  <c r="AC23" i="2"/>
  <c r="Y23" i="2"/>
  <c r="W23" i="2"/>
  <c r="R23" i="2"/>
  <c r="M23" i="2"/>
  <c r="K23" i="2"/>
  <c r="H23" i="2"/>
  <c r="S23" i="2" s="1"/>
  <c r="AI23" i="2" s="1"/>
  <c r="G23" i="2"/>
  <c r="AG23" i="2" s="1"/>
  <c r="AF22" i="2"/>
  <c r="AH22" i="2" s="1"/>
  <c r="AC22" i="2"/>
  <c r="Y22" i="2"/>
  <c r="W22" i="2"/>
  <c r="R22" i="2"/>
  <c r="M22" i="2"/>
  <c r="K22" i="2"/>
  <c r="H22" i="2"/>
  <c r="S22" i="2" s="1"/>
  <c r="AI22" i="2" s="1"/>
  <c r="G22" i="2"/>
  <c r="AG22" i="2" s="1"/>
  <c r="AF21" i="2"/>
  <c r="AH21" i="2" s="1"/>
  <c r="AJ21" i="2" s="1"/>
  <c r="AC21" i="2"/>
  <c r="Y21" i="2"/>
  <c r="W21" i="2"/>
  <c r="R21" i="2"/>
  <c r="M21" i="2"/>
  <c r="K21" i="2"/>
  <c r="H21" i="2"/>
  <c r="S21" i="2" s="1"/>
  <c r="AI21" i="2" s="1"/>
  <c r="G21" i="2"/>
  <c r="AG21" i="2" s="1"/>
  <c r="AF20" i="2"/>
  <c r="AH20" i="2" s="1"/>
  <c r="AJ20" i="2" s="1"/>
  <c r="AC20" i="2"/>
  <c r="Y20" i="2"/>
  <c r="W20" i="2"/>
  <c r="R20" i="2"/>
  <c r="M20" i="2"/>
  <c r="K20" i="2"/>
  <c r="H20" i="2"/>
  <c r="S20" i="2" s="1"/>
  <c r="AI20" i="2" s="1"/>
  <c r="G20" i="2"/>
  <c r="AG20" i="2" s="1"/>
  <c r="AF19" i="2"/>
  <c r="AH19" i="2" s="1"/>
  <c r="AC19" i="2"/>
  <c r="Y19" i="2"/>
  <c r="W19" i="2"/>
  <c r="R19" i="2"/>
  <c r="M19" i="2"/>
  <c r="K19" i="2"/>
  <c r="H19" i="2"/>
  <c r="S19" i="2" s="1"/>
  <c r="AI19" i="2" s="1"/>
  <c r="G19" i="2"/>
  <c r="AG19" i="2" s="1"/>
  <c r="AF18" i="2"/>
  <c r="AH18" i="2" s="1"/>
  <c r="AC18" i="2"/>
  <c r="Y18" i="2"/>
  <c r="W18" i="2"/>
  <c r="R18" i="2"/>
  <c r="M18" i="2"/>
  <c r="K18" i="2"/>
  <c r="H18" i="2"/>
  <c r="S18" i="2" s="1"/>
  <c r="AI18" i="2" s="1"/>
  <c r="G18" i="2"/>
  <c r="AG18" i="2" s="1"/>
  <c r="AF17" i="2"/>
  <c r="AH17" i="2" s="1"/>
  <c r="AJ17" i="2" s="1"/>
  <c r="AC17" i="2"/>
  <c r="Y17" i="2"/>
  <c r="W17" i="2"/>
  <c r="R17" i="2"/>
  <c r="M17" i="2"/>
  <c r="K17" i="2"/>
  <c r="H17" i="2"/>
  <c r="S17" i="2" s="1"/>
  <c r="AI17" i="2" s="1"/>
  <c r="G17" i="2"/>
  <c r="AG17" i="2" s="1"/>
  <c r="AF16" i="2"/>
  <c r="AH16" i="2" s="1"/>
  <c r="AJ16" i="2" s="1"/>
  <c r="AC16" i="2"/>
  <c r="Y16" i="2"/>
  <c r="W16" i="2"/>
  <c r="R16" i="2"/>
  <c r="M16" i="2"/>
  <c r="K16" i="2"/>
  <c r="H16" i="2"/>
  <c r="S16" i="2" s="1"/>
  <c r="AI16" i="2" s="1"/>
  <c r="G16" i="2"/>
  <c r="AG16" i="2" s="1"/>
  <c r="AF15" i="2"/>
  <c r="AH15" i="2" s="1"/>
  <c r="AC15" i="2"/>
  <c r="Y15" i="2"/>
  <c r="W15" i="2"/>
  <c r="R15" i="2"/>
  <c r="M15" i="2"/>
  <c r="K15" i="2"/>
  <c r="H15" i="2"/>
  <c r="S15" i="2" s="1"/>
  <c r="AI15" i="2" s="1"/>
  <c r="G15" i="2"/>
  <c r="AG15" i="2" s="1"/>
  <c r="AF14" i="2"/>
  <c r="AH14" i="2" s="1"/>
  <c r="AC14" i="2"/>
  <c r="Y14" i="2"/>
  <c r="W14" i="2"/>
  <c r="R14" i="2"/>
  <c r="M14" i="2"/>
  <c r="K14" i="2"/>
  <c r="H14" i="2"/>
  <c r="S14" i="2" s="1"/>
  <c r="AI14" i="2" s="1"/>
  <c r="G14" i="2"/>
  <c r="AG14" i="2" s="1"/>
  <c r="AF13" i="2"/>
  <c r="AH13" i="2" s="1"/>
  <c r="AJ13" i="2" s="1"/>
  <c r="AC13" i="2"/>
  <c r="Y13" i="2"/>
  <c r="W13" i="2"/>
  <c r="R13" i="2"/>
  <c r="M13" i="2"/>
  <c r="K13" i="2"/>
  <c r="H13" i="2"/>
  <c r="S13" i="2" s="1"/>
  <c r="AI13" i="2" s="1"/>
  <c r="G13" i="2"/>
  <c r="AG13" i="2" s="1"/>
  <c r="AF12" i="2"/>
  <c r="AH12" i="2" s="1"/>
  <c r="AJ12" i="2" s="1"/>
  <c r="AC12" i="2"/>
  <c r="Y12" i="2"/>
  <c r="W12" i="2"/>
  <c r="R12" i="2"/>
  <c r="M12" i="2"/>
  <c r="K12" i="2"/>
  <c r="H12" i="2"/>
  <c r="S12" i="2" s="1"/>
  <c r="AI12" i="2" s="1"/>
  <c r="G12" i="2"/>
  <c r="AG12" i="2" s="1"/>
  <c r="AG11" i="2"/>
  <c r="AC11" i="2"/>
  <c r="Y11" i="2"/>
  <c r="W11" i="2"/>
  <c r="AF11" i="2" s="1"/>
  <c r="AH11" i="2" s="1"/>
  <c r="R11" i="2"/>
  <c r="M11" i="2"/>
  <c r="K11" i="2"/>
  <c r="H11" i="2"/>
  <c r="S11" i="2" s="1"/>
  <c r="AI11" i="2" s="1"/>
  <c r="G11" i="2"/>
  <c r="AF10" i="2"/>
  <c r="AH10" i="2" s="1"/>
  <c r="AC10" i="2"/>
  <c r="Y10" i="2"/>
  <c r="W10" i="2"/>
  <c r="R10" i="2"/>
  <c r="M10" i="2"/>
  <c r="K10" i="2"/>
  <c r="H10" i="2"/>
  <c r="S10" i="2" s="1"/>
  <c r="AI10" i="2" s="1"/>
  <c r="G10" i="2"/>
  <c r="AG10" i="2" s="1"/>
  <c r="AG9" i="2"/>
  <c r="AF9" i="2"/>
  <c r="AH9" i="2" s="1"/>
  <c r="AJ9" i="2" s="1"/>
  <c r="AC9" i="2"/>
  <c r="Y9" i="2"/>
  <c r="W9" i="2"/>
  <c r="R9" i="2"/>
  <c r="M9" i="2"/>
  <c r="K9" i="2"/>
  <c r="H9" i="2"/>
  <c r="S9" i="2" s="1"/>
  <c r="AI9" i="2" s="1"/>
  <c r="G9" i="2"/>
  <c r="AF8" i="2"/>
  <c r="AC8" i="2"/>
  <c r="Y8" i="2"/>
  <c r="W8" i="2"/>
  <c r="R8" i="2"/>
  <c r="M8" i="2"/>
  <c r="K8" i="2"/>
  <c r="H8" i="2"/>
  <c r="S8" i="2" s="1"/>
  <c r="AI8" i="2" s="1"/>
  <c r="G8" i="2"/>
  <c r="AG8" i="2" s="1"/>
  <c r="AH8" i="2" s="1"/>
  <c r="AC7" i="2"/>
  <c r="Y7" i="2"/>
  <c r="W7" i="2"/>
  <c r="R7" i="2"/>
  <c r="M7" i="2"/>
  <c r="K7" i="2"/>
  <c r="H7" i="2"/>
  <c r="S7" i="2" s="1"/>
  <c r="G7" i="2"/>
  <c r="AG7" i="2" s="1"/>
  <c r="AH7" i="2" s="1"/>
  <c r="AG6" i="2"/>
  <c r="AC6" i="2"/>
  <c r="Y6" i="2"/>
  <c r="W6" i="2"/>
  <c r="AF6" i="2" s="1"/>
  <c r="R6" i="2"/>
  <c r="M6" i="2"/>
  <c r="K6" i="2"/>
  <c r="H6" i="2"/>
  <c r="G6" i="2"/>
  <c r="AC5" i="2"/>
  <c r="Y5" i="2"/>
  <c r="W5" i="2"/>
  <c r="AF5" i="2" s="1"/>
  <c r="R5" i="2"/>
  <c r="M5" i="2"/>
  <c r="K5" i="2"/>
  <c r="H5" i="2"/>
  <c r="G5" i="2"/>
  <c r="AG5" i="2" s="1"/>
  <c r="AG4" i="2"/>
  <c r="AC4" i="2"/>
  <c r="Y4" i="2"/>
  <c r="W4" i="2"/>
  <c r="AF4" i="2" s="1"/>
  <c r="AH4" i="2" s="1"/>
  <c r="R4" i="2"/>
  <c r="M4" i="2"/>
  <c r="K4" i="2"/>
  <c r="H4" i="2"/>
  <c r="S4" i="2" s="1"/>
  <c r="AI4" i="2" s="1"/>
  <c r="G4" i="2"/>
  <c r="AC3" i="2"/>
  <c r="Y3" i="2"/>
  <c r="W3" i="2"/>
  <c r="AF3" i="2" s="1"/>
  <c r="AH3" i="2" s="1"/>
  <c r="R3" i="2"/>
  <c r="M3" i="2"/>
  <c r="K3" i="2"/>
  <c r="H3" i="2"/>
  <c r="S3" i="2" s="1"/>
  <c r="AI3" i="2" s="1"/>
  <c r="G3" i="2"/>
  <c r="AG3" i="2" s="1"/>
  <c r="AF31" i="1"/>
  <c r="AH30" i="1"/>
  <c r="AF30" i="1"/>
  <c r="AC30" i="1"/>
  <c r="Y30" i="1"/>
  <c r="W30" i="1"/>
  <c r="R30" i="1"/>
  <c r="M30" i="1"/>
  <c r="S30" i="1" s="1"/>
  <c r="K30" i="1"/>
  <c r="H30" i="1"/>
  <c r="G30" i="1"/>
  <c r="AG30" i="1" s="1"/>
  <c r="AG29" i="1"/>
  <c r="AF29" i="1"/>
  <c r="AH29" i="1" s="1"/>
  <c r="AC29" i="1"/>
  <c r="Y29" i="1"/>
  <c r="W29" i="1"/>
  <c r="R29" i="1"/>
  <c r="M29" i="1"/>
  <c r="K29" i="1"/>
  <c r="H29" i="1"/>
  <c r="S29" i="1" s="1"/>
  <c r="AI29" i="1" s="1"/>
  <c r="G29" i="1"/>
  <c r="AF28" i="1"/>
  <c r="AC28" i="1"/>
  <c r="Y28" i="1"/>
  <c r="W28" i="1"/>
  <c r="R28" i="1"/>
  <c r="M28" i="1"/>
  <c r="K28" i="1"/>
  <c r="H28" i="1"/>
  <c r="G28" i="1"/>
  <c r="AG28" i="1" s="1"/>
  <c r="AH28" i="1" s="1"/>
  <c r="AG27" i="1"/>
  <c r="AF27" i="1"/>
  <c r="AH27" i="1" s="1"/>
  <c r="AC27" i="1"/>
  <c r="Y27" i="1"/>
  <c r="W27" i="1"/>
  <c r="R27" i="1"/>
  <c r="M27" i="1"/>
  <c r="K27" i="1"/>
  <c r="H27" i="1"/>
  <c r="S27" i="1" s="1"/>
  <c r="AI27" i="1" s="1"/>
  <c r="AJ27" i="1" s="1"/>
  <c r="G27" i="1"/>
  <c r="AH26" i="1"/>
  <c r="AF26" i="1"/>
  <c r="AC26" i="1"/>
  <c r="Y26" i="1"/>
  <c r="W26" i="1"/>
  <c r="R26" i="1"/>
  <c r="M26" i="1"/>
  <c r="K26" i="1"/>
  <c r="H26" i="1"/>
  <c r="S26" i="1" s="1"/>
  <c r="AI26" i="1" s="1"/>
  <c r="G26" i="1"/>
  <c r="AG26" i="1" s="1"/>
  <c r="AG25" i="1"/>
  <c r="AF25" i="1"/>
  <c r="AH25" i="1" s="1"/>
  <c r="AC25" i="1"/>
  <c r="Y25" i="1"/>
  <c r="W25" i="1"/>
  <c r="R25" i="1"/>
  <c r="M25" i="1"/>
  <c r="K25" i="1"/>
  <c r="H25" i="1"/>
  <c r="S25" i="1" s="1"/>
  <c r="AI25" i="1" s="1"/>
  <c r="G25" i="1"/>
  <c r="AH24" i="1"/>
  <c r="AF24" i="1"/>
  <c r="AC24" i="1"/>
  <c r="Y24" i="1"/>
  <c r="W24" i="1"/>
  <c r="R24" i="1"/>
  <c r="M24" i="1"/>
  <c r="K24" i="1"/>
  <c r="H24" i="1"/>
  <c r="G24" i="1"/>
  <c r="AG24" i="1" s="1"/>
  <c r="AG23" i="1"/>
  <c r="AF23" i="1"/>
  <c r="AH23" i="1" s="1"/>
  <c r="AC23" i="1"/>
  <c r="Y23" i="1"/>
  <c r="W23" i="1"/>
  <c r="R23" i="1"/>
  <c r="M23" i="1"/>
  <c r="K23" i="1"/>
  <c r="H23" i="1"/>
  <c r="S23" i="1" s="1"/>
  <c r="AI23" i="1" s="1"/>
  <c r="AJ23" i="1" s="1"/>
  <c r="G23" i="1"/>
  <c r="AH22" i="1"/>
  <c r="AF22" i="1"/>
  <c r="AC22" i="1"/>
  <c r="Y22" i="1"/>
  <c r="W22" i="1"/>
  <c r="R22" i="1"/>
  <c r="M22" i="1"/>
  <c r="K22" i="1"/>
  <c r="H22" i="1"/>
  <c r="S22" i="1" s="1"/>
  <c r="AI22" i="1" s="1"/>
  <c r="G22" i="1"/>
  <c r="AG22" i="1" s="1"/>
  <c r="AG21" i="1"/>
  <c r="AF21" i="1"/>
  <c r="AH21" i="1" s="1"/>
  <c r="AC21" i="1"/>
  <c r="Y21" i="1"/>
  <c r="W21" i="1"/>
  <c r="R21" i="1"/>
  <c r="M21" i="1"/>
  <c r="K21" i="1"/>
  <c r="H21" i="1"/>
  <c r="S21" i="1" s="1"/>
  <c r="AI21" i="1" s="1"/>
  <c r="G21" i="1"/>
  <c r="AH20" i="1"/>
  <c r="AF20" i="1"/>
  <c r="AC20" i="1"/>
  <c r="Y20" i="1"/>
  <c r="W20" i="1"/>
  <c r="R20" i="1"/>
  <c r="M20" i="1"/>
  <c r="K20" i="1"/>
  <c r="H20" i="1"/>
  <c r="G20" i="1"/>
  <c r="AG20" i="1" s="1"/>
  <c r="AG19" i="1"/>
  <c r="AF19" i="1"/>
  <c r="AH19" i="1" s="1"/>
  <c r="AC19" i="1"/>
  <c r="Y19" i="1"/>
  <c r="W19" i="1"/>
  <c r="R19" i="1"/>
  <c r="M19" i="1"/>
  <c r="K19" i="1"/>
  <c r="H19" i="1"/>
  <c r="S19" i="1" s="1"/>
  <c r="AI19" i="1" s="1"/>
  <c r="AJ19" i="1" s="1"/>
  <c r="G19" i="1"/>
  <c r="AH18" i="1"/>
  <c r="AF18" i="1"/>
  <c r="AC18" i="1"/>
  <c r="Y18" i="1"/>
  <c r="W18" i="1"/>
  <c r="R18" i="1"/>
  <c r="M18" i="1"/>
  <c r="K18" i="1"/>
  <c r="H18" i="1"/>
  <c r="S18" i="1" s="1"/>
  <c r="AI18" i="1" s="1"/>
  <c r="G18" i="1"/>
  <c r="AG18" i="1" s="1"/>
  <c r="AG17" i="1"/>
  <c r="AF17" i="1"/>
  <c r="AH17" i="1" s="1"/>
  <c r="AC17" i="1"/>
  <c r="Y17" i="1"/>
  <c r="W17" i="1"/>
  <c r="R17" i="1"/>
  <c r="M17" i="1"/>
  <c r="K17" i="1"/>
  <c r="H17" i="1"/>
  <c r="S17" i="1" s="1"/>
  <c r="AI17" i="1" s="1"/>
  <c r="G17" i="1"/>
  <c r="AH16" i="1"/>
  <c r="AF16" i="1"/>
  <c r="AC16" i="1"/>
  <c r="Y16" i="1"/>
  <c r="W16" i="1"/>
  <c r="R16" i="1"/>
  <c r="M16" i="1"/>
  <c r="K16" i="1"/>
  <c r="H16" i="1"/>
  <c r="G16" i="1"/>
  <c r="AG16" i="1" s="1"/>
  <c r="AG15" i="1"/>
  <c r="AF15" i="1"/>
  <c r="AH15" i="1" s="1"/>
  <c r="AC15" i="1"/>
  <c r="Y15" i="1"/>
  <c r="W15" i="1"/>
  <c r="R15" i="1"/>
  <c r="M15" i="1"/>
  <c r="K15" i="1"/>
  <c r="H15" i="1"/>
  <c r="S15" i="1" s="1"/>
  <c r="AI15" i="1" s="1"/>
  <c r="AJ15" i="1" s="1"/>
  <c r="G15" i="1"/>
  <c r="AH14" i="1"/>
  <c r="AF14" i="1"/>
  <c r="AC14" i="1"/>
  <c r="Y14" i="1"/>
  <c r="W14" i="1"/>
  <c r="R14" i="1"/>
  <c r="M14" i="1"/>
  <c r="K14" i="1"/>
  <c r="H14" i="1"/>
  <c r="S14" i="1" s="1"/>
  <c r="AI14" i="1" s="1"/>
  <c r="G14" i="1"/>
  <c r="AG14" i="1" s="1"/>
  <c r="AG13" i="1"/>
  <c r="AF13" i="1"/>
  <c r="AH13" i="1" s="1"/>
  <c r="AC13" i="1"/>
  <c r="Y13" i="1"/>
  <c r="W13" i="1"/>
  <c r="R13" i="1"/>
  <c r="M13" i="1"/>
  <c r="K13" i="1"/>
  <c r="H13" i="1"/>
  <c r="S13" i="1" s="1"/>
  <c r="AI13" i="1" s="1"/>
  <c r="G13" i="1"/>
  <c r="AH12" i="1"/>
  <c r="AF12" i="1"/>
  <c r="AC12" i="1"/>
  <c r="Y12" i="1"/>
  <c r="W12" i="1"/>
  <c r="R12" i="1"/>
  <c r="M12" i="1"/>
  <c r="K12" i="1"/>
  <c r="H12" i="1"/>
  <c r="G12" i="1"/>
  <c r="AG12" i="1" s="1"/>
  <c r="AG11" i="1"/>
  <c r="AF11" i="1"/>
  <c r="AH11" i="1" s="1"/>
  <c r="AC11" i="1"/>
  <c r="Y11" i="1"/>
  <c r="W11" i="1"/>
  <c r="R11" i="1"/>
  <c r="M11" i="1"/>
  <c r="K11" i="1"/>
  <c r="H11" i="1"/>
  <c r="S11" i="1" s="1"/>
  <c r="AI11" i="1" s="1"/>
  <c r="AJ11" i="1" s="1"/>
  <c r="G11" i="1"/>
  <c r="AH10" i="1"/>
  <c r="AJ10" i="1" s="1"/>
  <c r="AF10" i="1"/>
  <c r="AC10" i="1"/>
  <c r="Y10" i="1"/>
  <c r="W10" i="1"/>
  <c r="R10" i="1"/>
  <c r="M10" i="1"/>
  <c r="K10" i="1"/>
  <c r="H10" i="1"/>
  <c r="S10" i="1" s="1"/>
  <c r="AI10" i="1" s="1"/>
  <c r="G10" i="1"/>
  <c r="AG10" i="1" s="1"/>
  <c r="AG9" i="1"/>
  <c r="AF9" i="1"/>
  <c r="AH9" i="1" s="1"/>
  <c r="AC9" i="1"/>
  <c r="Y9" i="1"/>
  <c r="W9" i="1"/>
  <c r="R9" i="1"/>
  <c r="M9" i="1"/>
  <c r="K9" i="1"/>
  <c r="H9" i="1"/>
  <c r="S9" i="1" s="1"/>
  <c r="AI9" i="1" s="1"/>
  <c r="G9" i="1"/>
  <c r="AH8" i="1"/>
  <c r="AF8" i="1"/>
  <c r="AC8" i="1"/>
  <c r="Y8" i="1"/>
  <c r="W8" i="1"/>
  <c r="R8" i="1"/>
  <c r="M8" i="1"/>
  <c r="K8" i="1"/>
  <c r="H8" i="1"/>
  <c r="G8" i="1"/>
  <c r="AG8" i="1" s="1"/>
  <c r="AG7" i="1"/>
  <c r="AF7" i="1"/>
  <c r="AH7" i="1" s="1"/>
  <c r="AC7" i="1"/>
  <c r="Y7" i="1"/>
  <c r="W7" i="1"/>
  <c r="R7" i="1"/>
  <c r="M7" i="1"/>
  <c r="K7" i="1"/>
  <c r="H7" i="1"/>
  <c r="S7" i="1" s="1"/>
  <c r="AI7" i="1" s="1"/>
  <c r="AJ7" i="1" s="1"/>
  <c r="G7" i="1"/>
  <c r="AH6" i="1"/>
  <c r="AF6" i="1"/>
  <c r="AC6" i="1"/>
  <c r="Y6" i="1"/>
  <c r="W6" i="1"/>
  <c r="R6" i="1"/>
  <c r="M6" i="1"/>
  <c r="K6" i="1"/>
  <c r="H6" i="1"/>
  <c r="S6" i="1" s="1"/>
  <c r="AI6" i="1" s="1"/>
  <c r="G6" i="1"/>
  <c r="AG6" i="1" s="1"/>
  <c r="AG5" i="1"/>
  <c r="AF5" i="1"/>
  <c r="AH5" i="1" s="1"/>
  <c r="AC5" i="1"/>
  <c r="Y5" i="1"/>
  <c r="W5" i="1"/>
  <c r="R5" i="1"/>
  <c r="M5" i="1"/>
  <c r="K5" i="1"/>
  <c r="H5" i="1"/>
  <c r="S5" i="1" s="1"/>
  <c r="AI5" i="1" s="1"/>
  <c r="G5" i="1"/>
  <c r="AH4" i="1"/>
  <c r="AF4" i="1"/>
  <c r="AC4" i="1"/>
  <c r="Y4" i="1"/>
  <c r="W4" i="1"/>
  <c r="R4" i="1"/>
  <c r="M4" i="1"/>
  <c r="K4" i="1"/>
  <c r="H4" i="1"/>
  <c r="G4" i="1"/>
  <c r="AG4" i="1" s="1"/>
  <c r="AG3" i="1"/>
  <c r="AF3" i="1"/>
  <c r="AH3" i="1" s="1"/>
  <c r="AC3" i="1"/>
  <c r="Y3" i="1"/>
  <c r="W3" i="1"/>
  <c r="R3" i="1"/>
  <c r="M3" i="1"/>
  <c r="K3" i="1"/>
  <c r="H3" i="1"/>
  <c r="S3" i="1" s="1"/>
  <c r="AI3" i="1" s="1"/>
  <c r="AJ3" i="1" s="1"/>
  <c r="G3" i="1"/>
  <c r="AJ29" i="1" l="1"/>
  <c r="AJ5" i="1"/>
  <c r="AJ9" i="1"/>
  <c r="AJ13" i="1"/>
  <c r="AJ17" i="1"/>
  <c r="AJ21" i="1"/>
  <c r="AJ25" i="1"/>
  <c r="AJ18" i="1"/>
  <c r="AJ22" i="1"/>
  <c r="AJ26" i="1"/>
  <c r="AJ4" i="2"/>
  <c r="AJ11" i="2"/>
  <c r="AJ12" i="1"/>
  <c r="S16" i="1"/>
  <c r="AI16" i="1" s="1"/>
  <c r="AJ3" i="2"/>
  <c r="AI7" i="2"/>
  <c r="AJ7" i="2" s="1"/>
  <c r="AJ8" i="2"/>
  <c r="AJ15" i="2"/>
  <c r="AJ19" i="2"/>
  <c r="AJ23" i="2"/>
  <c r="AL6" i="3"/>
  <c r="AL10" i="3"/>
  <c r="AJ6" i="1"/>
  <c r="S5" i="2"/>
  <c r="AI5" i="2" s="1"/>
  <c r="AH5" i="2"/>
  <c r="AJ5" i="2" s="1"/>
  <c r="AJ14" i="1"/>
  <c r="S4" i="1"/>
  <c r="AI4" i="1" s="1"/>
  <c r="AJ4" i="1" s="1"/>
  <c r="S8" i="1"/>
  <c r="AI8" i="1" s="1"/>
  <c r="AJ8" i="1" s="1"/>
  <c r="S12" i="1"/>
  <c r="AI12" i="1" s="1"/>
  <c r="AJ16" i="1"/>
  <c r="S20" i="1"/>
  <c r="AI20" i="1" s="1"/>
  <c r="AJ20" i="1" s="1"/>
  <c r="S24" i="1"/>
  <c r="AI24" i="1" s="1"/>
  <c r="AJ24" i="1" s="1"/>
  <c r="S28" i="1"/>
  <c r="AI28" i="1" s="1"/>
  <c r="AJ28" i="1" s="1"/>
  <c r="AI30" i="1"/>
  <c r="AJ30" i="1" s="1"/>
  <c r="S6" i="2"/>
  <c r="AI6" i="2" s="1"/>
  <c r="AH6" i="2"/>
  <c r="AJ10" i="2"/>
  <c r="AJ14" i="2"/>
  <c r="AJ18" i="2"/>
  <c r="AJ22" i="2"/>
  <c r="AL5" i="3"/>
  <c r="AL9" i="3"/>
  <c r="AJ22" i="4"/>
  <c r="AL22" i="4" s="1"/>
  <c r="AL4" i="5"/>
  <c r="AL12" i="5"/>
  <c r="AL18" i="6"/>
  <c r="AL26" i="6"/>
  <c r="AJ11" i="3"/>
  <c r="AL11" i="3" s="1"/>
  <c r="AJ13" i="3"/>
  <c r="AL13" i="3" s="1"/>
  <c r="AJ15" i="3"/>
  <c r="AL15" i="3" s="1"/>
  <c r="AJ17" i="3"/>
  <c r="AL17" i="3" s="1"/>
  <c r="AJ19" i="3"/>
  <c r="AL19" i="3" s="1"/>
  <c r="AJ21" i="3"/>
  <c r="AL21" i="3" s="1"/>
  <c r="AJ23" i="3"/>
  <c r="AL23" i="3" s="1"/>
  <c r="AJ25" i="3"/>
  <c r="AL25" i="3" s="1"/>
  <c r="AJ27" i="3"/>
  <c r="AL27" i="3" s="1"/>
  <c r="AJ29" i="3"/>
  <c r="AL29" i="3" s="1"/>
  <c r="AJ31" i="3"/>
  <c r="AL31" i="3" s="1"/>
  <c r="AJ33" i="3"/>
  <c r="AL33" i="3" s="1"/>
  <c r="U4" i="4"/>
  <c r="AK4" i="4" s="1"/>
  <c r="AJ4" i="4"/>
  <c r="AL4" i="4" s="1"/>
  <c r="U6" i="4"/>
  <c r="AK6" i="4" s="1"/>
  <c r="AJ6" i="4"/>
  <c r="AL6" i="4" s="1"/>
  <c r="U8" i="4"/>
  <c r="AK8" i="4" s="1"/>
  <c r="AJ8" i="4"/>
  <c r="AL8" i="4" s="1"/>
  <c r="U10" i="4"/>
  <c r="AK10" i="4" s="1"/>
  <c r="AJ10" i="4"/>
  <c r="AL10" i="4" s="1"/>
  <c r="U12" i="4"/>
  <c r="AK12" i="4" s="1"/>
  <c r="AJ12" i="4"/>
  <c r="AL12" i="4" s="1"/>
  <c r="U14" i="4"/>
  <c r="AK14" i="4" s="1"/>
  <c r="AJ14" i="4"/>
  <c r="AL14" i="4" s="1"/>
  <c r="U16" i="4"/>
  <c r="AK16" i="4" s="1"/>
  <c r="AJ16" i="4"/>
  <c r="AL16" i="4" s="1"/>
  <c r="U18" i="4"/>
  <c r="AK18" i="4" s="1"/>
  <c r="AJ18" i="4"/>
  <c r="AL18" i="4" s="1"/>
  <c r="AJ20" i="4"/>
  <c r="AJ25" i="4"/>
  <c r="AL25" i="4" s="1"/>
  <c r="AJ5" i="5"/>
  <c r="AJ10" i="5"/>
  <c r="AL10" i="5" s="1"/>
  <c r="AJ13" i="5"/>
  <c r="AL8" i="6"/>
  <c r="AL16" i="6"/>
  <c r="AL24" i="6"/>
  <c r="AL3" i="8"/>
  <c r="AL10" i="6"/>
  <c r="AL12" i="7"/>
  <c r="AL8" i="10"/>
  <c r="U3" i="4"/>
  <c r="AK3" i="4" s="1"/>
  <c r="AJ3" i="4"/>
  <c r="U5" i="4"/>
  <c r="AK5" i="4" s="1"/>
  <c r="AJ5" i="4"/>
  <c r="U7" i="4"/>
  <c r="AK7" i="4" s="1"/>
  <c r="AJ7" i="4"/>
  <c r="U9" i="4"/>
  <c r="AK9" i="4" s="1"/>
  <c r="AJ9" i="4"/>
  <c r="U11" i="4"/>
  <c r="AK11" i="4" s="1"/>
  <c r="AJ11" i="4"/>
  <c r="U13" i="4"/>
  <c r="AK13" i="4" s="1"/>
  <c r="AJ13" i="4"/>
  <c r="U15" i="4"/>
  <c r="AK15" i="4" s="1"/>
  <c r="AJ15" i="4"/>
  <c r="U17" i="4"/>
  <c r="AK17" i="4" s="1"/>
  <c r="AJ17" i="4"/>
  <c r="U19" i="4"/>
  <c r="AK19" i="4" s="1"/>
  <c r="AJ19" i="4"/>
  <c r="AJ21" i="4"/>
  <c r="AL21" i="4" s="1"/>
  <c r="AJ24" i="4"/>
  <c r="AJ6" i="5"/>
  <c r="AL6" i="5" s="1"/>
  <c r="AJ9" i="5"/>
  <c r="AJ14" i="5"/>
  <c r="AL14" i="5" s="1"/>
  <c r="AL4" i="6"/>
  <c r="AL7" i="6"/>
  <c r="AL12" i="6"/>
  <c r="AL15" i="6"/>
  <c r="AL20" i="6"/>
  <c r="AL23" i="6"/>
  <c r="AL28" i="6"/>
  <c r="AL8" i="8"/>
  <c r="AJ7" i="5"/>
  <c r="AL7" i="5" s="1"/>
  <c r="AJ15" i="5"/>
  <c r="AL8" i="7"/>
  <c r="AL23" i="4"/>
  <c r="AJ3" i="5"/>
  <c r="AL8" i="5"/>
  <c r="AJ11" i="5"/>
  <c r="AL16" i="5"/>
  <c r="AL6" i="6"/>
  <c r="AL9" i="6"/>
  <c r="AL14" i="6"/>
  <c r="AL17" i="6"/>
  <c r="AL22" i="6"/>
  <c r="AL25" i="6"/>
  <c r="AL6" i="7"/>
  <c r="AL10" i="7"/>
  <c r="AL14" i="7"/>
  <c r="U17" i="7"/>
  <c r="AK17" i="7" s="1"/>
  <c r="AL17" i="7" s="1"/>
  <c r="AL27" i="7"/>
  <c r="AL29" i="7"/>
  <c r="U18" i="5"/>
  <c r="AK18" i="5" s="1"/>
  <c r="AJ18" i="5"/>
  <c r="U20" i="5"/>
  <c r="AK20" i="5" s="1"/>
  <c r="AJ20" i="5"/>
  <c r="U22" i="5"/>
  <c r="AK22" i="5" s="1"/>
  <c r="AJ22" i="5"/>
  <c r="U24" i="5"/>
  <c r="AK24" i="5" s="1"/>
  <c r="AJ24" i="5"/>
  <c r="AK5" i="6"/>
  <c r="AL5" i="6" s="1"/>
  <c r="AK9" i="6"/>
  <c r="AK13" i="6"/>
  <c r="AL13" i="6" s="1"/>
  <c r="AK17" i="6"/>
  <c r="AK21" i="6"/>
  <c r="AL21" i="6" s="1"/>
  <c r="AK25" i="6"/>
  <c r="AK29" i="6"/>
  <c r="AL29" i="6" s="1"/>
  <c r="U3" i="7"/>
  <c r="AK3" i="7" s="1"/>
  <c r="AJ3" i="7"/>
  <c r="AL3" i="7" s="1"/>
  <c r="U7" i="7"/>
  <c r="AK7" i="7" s="1"/>
  <c r="AJ7" i="7"/>
  <c r="AL7" i="7" s="1"/>
  <c r="U11" i="7"/>
  <c r="AK11" i="7" s="1"/>
  <c r="AJ11" i="7"/>
  <c r="AL11" i="7" s="1"/>
  <c r="AL15" i="7"/>
  <c r="AL18" i="7"/>
  <c r="AL20" i="7"/>
  <c r="AK25" i="7"/>
  <c r="AL25" i="7" s="1"/>
  <c r="AK3" i="8"/>
  <c r="AL13" i="8"/>
  <c r="AL4" i="10"/>
  <c r="AL12" i="11"/>
  <c r="AL20" i="11"/>
  <c r="AL5" i="8"/>
  <c r="AL7" i="8"/>
  <c r="U12" i="8"/>
  <c r="AK12" i="8" s="1"/>
  <c r="AL12" i="8" s="1"/>
  <c r="AL27" i="9"/>
  <c r="U20" i="4"/>
  <c r="AK20" i="4" s="1"/>
  <c r="U22" i="4"/>
  <c r="AK22" i="4" s="1"/>
  <c r="U24" i="4"/>
  <c r="AK24" i="4" s="1"/>
  <c r="U3" i="5"/>
  <c r="AK3" i="5" s="1"/>
  <c r="U5" i="5"/>
  <c r="AK5" i="5" s="1"/>
  <c r="U7" i="5"/>
  <c r="AK7" i="5" s="1"/>
  <c r="U9" i="5"/>
  <c r="AK9" i="5" s="1"/>
  <c r="U11" i="5"/>
  <c r="AK11" i="5" s="1"/>
  <c r="U13" i="5"/>
  <c r="AK13" i="5" s="1"/>
  <c r="U15" i="5"/>
  <c r="AK15" i="5" s="1"/>
  <c r="U17" i="5"/>
  <c r="AK17" i="5" s="1"/>
  <c r="AJ17" i="5"/>
  <c r="U19" i="5"/>
  <c r="AK19" i="5" s="1"/>
  <c r="AJ19" i="5"/>
  <c r="U21" i="5"/>
  <c r="AK21" i="5" s="1"/>
  <c r="AJ21" i="5"/>
  <c r="U23" i="5"/>
  <c r="AK23" i="5" s="1"/>
  <c r="AJ23" i="5"/>
  <c r="U25" i="5"/>
  <c r="AK25" i="5" s="1"/>
  <c r="AL25" i="5" s="1"/>
  <c r="U7" i="6"/>
  <c r="AK7" i="6" s="1"/>
  <c r="U11" i="6"/>
  <c r="AK11" i="6" s="1"/>
  <c r="AL11" i="6" s="1"/>
  <c r="U15" i="6"/>
  <c r="AK15" i="6" s="1"/>
  <c r="U19" i="6"/>
  <c r="AK19" i="6" s="1"/>
  <c r="AL19" i="6" s="1"/>
  <c r="U23" i="6"/>
  <c r="AK23" i="6" s="1"/>
  <c r="U27" i="6"/>
  <c r="AK27" i="6" s="1"/>
  <c r="AL27" i="6" s="1"/>
  <c r="U5" i="7"/>
  <c r="AK5" i="7" s="1"/>
  <c r="AJ5" i="7"/>
  <c r="AL5" i="7" s="1"/>
  <c r="U9" i="7"/>
  <c r="AK9" i="7" s="1"/>
  <c r="AJ9" i="7"/>
  <c r="AL9" i="7" s="1"/>
  <c r="U13" i="7"/>
  <c r="AK13" i="7" s="1"/>
  <c r="AJ13" i="7"/>
  <c r="AL13" i="7" s="1"/>
  <c r="AL21" i="7"/>
  <c r="AK22" i="7"/>
  <c r="AL23" i="7"/>
  <c r="U26" i="7"/>
  <c r="AK26" i="7" s="1"/>
  <c r="AL26" i="7" s="1"/>
  <c r="AL28" i="7"/>
  <c r="U4" i="8"/>
  <c r="AK4" i="8" s="1"/>
  <c r="AL4" i="8" s="1"/>
  <c r="AL6" i="8"/>
  <c r="AL26" i="9"/>
  <c r="AJ17" i="8"/>
  <c r="AL17" i="8" s="1"/>
  <c r="AL18" i="8"/>
  <c r="AJ21" i="8"/>
  <c r="AL21" i="8" s="1"/>
  <c r="AL22" i="8"/>
  <c r="AJ25" i="8"/>
  <c r="AL25" i="8" s="1"/>
  <c r="AL26" i="8"/>
  <c r="AJ5" i="9"/>
  <c r="AL5" i="9" s="1"/>
  <c r="AL6" i="9"/>
  <c r="AJ9" i="9"/>
  <c r="AL9" i="9" s="1"/>
  <c r="AL10" i="9"/>
  <c r="AJ13" i="9"/>
  <c r="AL13" i="9" s="1"/>
  <c r="AL14" i="9"/>
  <c r="AJ17" i="9"/>
  <c r="AL17" i="9" s="1"/>
  <c r="AL18" i="9"/>
  <c r="AJ21" i="9"/>
  <c r="AL21" i="9" s="1"/>
  <c r="AL22" i="9"/>
  <c r="U24" i="9"/>
  <c r="AK24" i="9" s="1"/>
  <c r="AL25" i="9"/>
  <c r="U5" i="10"/>
  <c r="AK5" i="10" s="1"/>
  <c r="AJ5" i="10"/>
  <c r="AL5" i="10" s="1"/>
  <c r="U9" i="10"/>
  <c r="AK9" i="10" s="1"/>
  <c r="AJ9" i="10"/>
  <c r="AL9" i="10" s="1"/>
  <c r="AL14" i="10"/>
  <c r="AJ15" i="10"/>
  <c r="AK21" i="10"/>
  <c r="AL26" i="10"/>
  <c r="AL8" i="11"/>
  <c r="AK14" i="11"/>
  <c r="AL14" i="11" s="1"/>
  <c r="AL19" i="14"/>
  <c r="AJ22" i="7"/>
  <c r="AL22" i="7" s="1"/>
  <c r="U16" i="8"/>
  <c r="AK16" i="8" s="1"/>
  <c r="U20" i="8"/>
  <c r="AK20" i="8" s="1"/>
  <c r="U24" i="8"/>
  <c r="AK24" i="8" s="1"/>
  <c r="U4" i="9"/>
  <c r="AK4" i="9" s="1"/>
  <c r="U8" i="9"/>
  <c r="AK8" i="9" s="1"/>
  <c r="U12" i="9"/>
  <c r="AK12" i="9" s="1"/>
  <c r="U16" i="9"/>
  <c r="AK16" i="9" s="1"/>
  <c r="U20" i="9"/>
  <c r="AK20" i="9" s="1"/>
  <c r="AL23" i="9"/>
  <c r="U25" i="9"/>
  <c r="AK25" i="9" s="1"/>
  <c r="AL6" i="10"/>
  <c r="AL10" i="10"/>
  <c r="AL22" i="10"/>
  <c r="AL7" i="11"/>
  <c r="AL16" i="11"/>
  <c r="AL14" i="13"/>
  <c r="AL16" i="8"/>
  <c r="AL20" i="8"/>
  <c r="AL24" i="8"/>
  <c r="AL4" i="9"/>
  <c r="AL8" i="9"/>
  <c r="AL12" i="9"/>
  <c r="AL16" i="9"/>
  <c r="AJ19" i="9"/>
  <c r="AL19" i="9" s="1"/>
  <c r="AL20" i="9"/>
  <c r="AJ24" i="9"/>
  <c r="AL24" i="9" s="1"/>
  <c r="U3" i="10"/>
  <c r="AK3" i="10" s="1"/>
  <c r="AJ3" i="10"/>
  <c r="U7" i="10"/>
  <c r="AK7" i="10" s="1"/>
  <c r="AJ7" i="10"/>
  <c r="AL11" i="10"/>
  <c r="AL4" i="11"/>
  <c r="AL6" i="12"/>
  <c r="AL4" i="13"/>
  <c r="AL7" i="13"/>
  <c r="U12" i="10"/>
  <c r="AK12" i="10" s="1"/>
  <c r="AJ12" i="10"/>
  <c r="AL12" i="10" s="1"/>
  <c r="AJ13" i="10"/>
  <c r="AL13" i="10" s="1"/>
  <c r="U15" i="10"/>
  <c r="AK15" i="10" s="1"/>
  <c r="U20" i="10"/>
  <c r="AK20" i="10" s="1"/>
  <c r="AJ20" i="10"/>
  <c r="AL20" i="10" s="1"/>
  <c r="AJ21" i="10"/>
  <c r="AL21" i="10" s="1"/>
  <c r="U23" i="10"/>
  <c r="AK23" i="10" s="1"/>
  <c r="AJ23" i="10"/>
  <c r="U27" i="10"/>
  <c r="AK27" i="10" s="1"/>
  <c r="AJ27" i="10"/>
  <c r="AJ3" i="11"/>
  <c r="AL3" i="11" s="1"/>
  <c r="AJ9" i="11"/>
  <c r="AL9" i="11" s="1"/>
  <c r="U13" i="11"/>
  <c r="AK13" i="11" s="1"/>
  <c r="AJ13" i="11"/>
  <c r="U17" i="11"/>
  <c r="AK17" i="11" s="1"/>
  <c r="AL17" i="11" s="1"/>
  <c r="AL25" i="11"/>
  <c r="AK8" i="12"/>
  <c r="AJ13" i="13"/>
  <c r="AJ20" i="13"/>
  <c r="AL20" i="13" s="1"/>
  <c r="AL24" i="13"/>
  <c r="AL16" i="14"/>
  <c r="U18" i="10"/>
  <c r="AK18" i="10" s="1"/>
  <c r="AL18" i="10"/>
  <c r="AJ19" i="10"/>
  <c r="AL19" i="10" s="1"/>
  <c r="U24" i="10"/>
  <c r="AK24" i="10" s="1"/>
  <c r="AL24" i="10" s="1"/>
  <c r="U28" i="10"/>
  <c r="AK28" i="10" s="1"/>
  <c r="AL28" i="10" s="1"/>
  <c r="U6" i="11"/>
  <c r="AK6" i="11" s="1"/>
  <c r="AL6" i="11" s="1"/>
  <c r="AL10" i="11"/>
  <c r="AL24" i="11"/>
  <c r="AL10" i="12"/>
  <c r="AL17" i="13"/>
  <c r="AL11" i="14"/>
  <c r="U16" i="10"/>
  <c r="AK16" i="10" s="1"/>
  <c r="AL16" i="10" s="1"/>
  <c r="AJ17" i="10"/>
  <c r="AL17" i="10" s="1"/>
  <c r="AL25" i="10"/>
  <c r="U11" i="11"/>
  <c r="AK11" i="11" s="1"/>
  <c r="AL11" i="11" s="1"/>
  <c r="U15" i="11"/>
  <c r="AK15" i="11" s="1"/>
  <c r="AL15" i="11" s="1"/>
  <c r="AL21" i="11"/>
  <c r="AL5" i="13"/>
  <c r="AJ22" i="13"/>
  <c r="AL7" i="14"/>
  <c r="U3" i="12"/>
  <c r="AK3" i="12" s="1"/>
  <c r="AJ3" i="12"/>
  <c r="U7" i="12"/>
  <c r="AK7" i="12" s="1"/>
  <c r="AJ7" i="12"/>
  <c r="U11" i="12"/>
  <c r="AK11" i="12" s="1"/>
  <c r="AJ11" i="12"/>
  <c r="U7" i="13"/>
  <c r="AK7" i="13" s="1"/>
  <c r="U11" i="13"/>
  <c r="AK11" i="13" s="1"/>
  <c r="AJ11" i="13"/>
  <c r="AL11" i="13" s="1"/>
  <c r="U13" i="13"/>
  <c r="AK13" i="13" s="1"/>
  <c r="AJ21" i="13"/>
  <c r="U22" i="13"/>
  <c r="AK22" i="13" s="1"/>
  <c r="AL26" i="13"/>
  <c r="U29" i="13"/>
  <c r="AK29" i="13" s="1"/>
  <c r="U3" i="14"/>
  <c r="AK3" i="14" s="1"/>
  <c r="AJ3" i="14"/>
  <c r="AL3" i="14" s="1"/>
  <c r="AL10" i="14"/>
  <c r="AL29" i="14"/>
  <c r="AL30" i="14"/>
  <c r="U19" i="11"/>
  <c r="AK19" i="11" s="1"/>
  <c r="AL19" i="11"/>
  <c r="U23" i="11"/>
  <c r="AK23" i="11" s="1"/>
  <c r="AL23" i="11"/>
  <c r="AL4" i="12"/>
  <c r="AL8" i="12"/>
  <c r="AK10" i="13"/>
  <c r="AL16" i="13"/>
  <c r="AL19" i="13"/>
  <c r="AK21" i="13"/>
  <c r="AL9" i="14"/>
  <c r="AL12" i="14"/>
  <c r="AK14" i="14"/>
  <c r="AL28" i="14"/>
  <c r="AL32" i="14"/>
  <c r="U5" i="12"/>
  <c r="AK5" i="12" s="1"/>
  <c r="AJ5" i="12"/>
  <c r="U9" i="12"/>
  <c r="AK9" i="12" s="1"/>
  <c r="AJ9" i="12"/>
  <c r="AK3" i="13"/>
  <c r="AL3" i="13" s="1"/>
  <c r="AJ8" i="13"/>
  <c r="AL8" i="13" s="1"/>
  <c r="AL9" i="13"/>
  <c r="AJ12" i="13"/>
  <c r="U18" i="13"/>
  <c r="AK18" i="13" s="1"/>
  <c r="AL25" i="13"/>
  <c r="AL32" i="13"/>
  <c r="AL23" i="14"/>
  <c r="U16" i="13"/>
  <c r="AK16" i="13" s="1"/>
  <c r="U31" i="13"/>
  <c r="AK31" i="13" s="1"/>
  <c r="AL31" i="13" s="1"/>
  <c r="U5" i="14"/>
  <c r="AK5" i="14" s="1"/>
  <c r="AL5" i="14" s="1"/>
  <c r="AJ6" i="14"/>
  <c r="AL6" i="14" s="1"/>
  <c r="U16" i="14"/>
  <c r="AK16" i="14" s="1"/>
  <c r="U21" i="14"/>
  <c r="AK21" i="14" s="1"/>
  <c r="AL21" i="14" s="1"/>
  <c r="U23" i="14"/>
  <c r="AK23" i="14" s="1"/>
  <c r="AJ26" i="14"/>
  <c r="AL26" i="14" s="1"/>
  <c r="U27" i="14"/>
  <c r="AK27" i="14" s="1"/>
  <c r="AJ27" i="14"/>
  <c r="AL27" i="14" s="1"/>
  <c r="U33" i="14"/>
  <c r="AK33" i="14" s="1"/>
  <c r="AJ33" i="14"/>
  <c r="AL33" i="14" s="1"/>
  <c r="AJ10" i="13"/>
  <c r="AL10" i="13" s="1"/>
  <c r="U12" i="13"/>
  <c r="AK12" i="13" s="1"/>
  <c r="AJ18" i="13"/>
  <c r="U20" i="13"/>
  <c r="AK20" i="13" s="1"/>
  <c r="U28" i="13"/>
  <c r="AK28" i="13" s="1"/>
  <c r="AL28" i="13" s="1"/>
  <c r="AJ29" i="13"/>
  <c r="AL29" i="13" s="1"/>
  <c r="U13" i="14"/>
  <c r="AK13" i="14" s="1"/>
  <c r="AL13" i="14" s="1"/>
  <c r="AJ14" i="14"/>
  <c r="AL14" i="14" s="1"/>
  <c r="U25" i="14"/>
  <c r="AK25" i="14" s="1"/>
  <c r="AJ25" i="14"/>
  <c r="AL25" i="14" s="1"/>
  <c r="U28" i="14"/>
  <c r="AK28" i="14" s="1"/>
  <c r="U27" i="13"/>
  <c r="AK27" i="13" s="1"/>
  <c r="AL27" i="13" s="1"/>
  <c r="U32" i="13"/>
  <c r="AK32" i="13" s="1"/>
  <c r="AJ33" i="13"/>
  <c r="AL33" i="13" s="1"/>
  <c r="U12" i="14"/>
  <c r="AK12" i="14" s="1"/>
  <c r="U17" i="14"/>
  <c r="AK17" i="14" s="1"/>
  <c r="AL17" i="14" s="1"/>
  <c r="AJ22" i="14"/>
  <c r="AL22" i="14" s="1"/>
  <c r="U24" i="14"/>
  <c r="AK24" i="14" s="1"/>
  <c r="AL24" i="14"/>
  <c r="AL31" i="14"/>
  <c r="AL5" i="12" l="1"/>
  <c r="AL7" i="12"/>
  <c r="AL13" i="13"/>
  <c r="AL13" i="11"/>
  <c r="AL27" i="10"/>
  <c r="AL7" i="10"/>
  <c r="AL23" i="5"/>
  <c r="AL19" i="5"/>
  <c r="AL24" i="5"/>
  <c r="AL20" i="5"/>
  <c r="AL3" i="5"/>
  <c r="AL15" i="5"/>
  <c r="AL9" i="5"/>
  <c r="AL19" i="4"/>
  <c r="AL15" i="4"/>
  <c r="AL11" i="4"/>
  <c r="AL7" i="4"/>
  <c r="AL3" i="4"/>
  <c r="AL5" i="5"/>
  <c r="AJ6" i="2"/>
  <c r="AL15" i="10"/>
  <c r="AL21" i="13"/>
  <c r="AL18" i="13"/>
  <c r="AL12" i="13"/>
  <c r="AL9" i="12"/>
  <c r="AL11" i="12"/>
  <c r="AL3" i="12"/>
  <c r="AL22" i="13"/>
  <c r="AL23" i="10"/>
  <c r="AL3" i="10"/>
  <c r="AL21" i="5"/>
  <c r="AL17" i="5"/>
  <c r="AL22" i="5"/>
  <c r="AL18" i="5"/>
  <c r="AL11" i="5"/>
  <c r="AL24" i="4"/>
  <c r="AL17" i="4"/>
  <c r="AL13" i="4"/>
  <c r="AL9" i="4"/>
  <c r="AL5" i="4"/>
  <c r="AL13" i="5"/>
  <c r="AL20" i="4"/>
</calcChain>
</file>

<file path=xl/comments1.xml><?xml version="1.0" encoding="utf-8"?>
<comments xmlns="http://schemas.openxmlformats.org/spreadsheetml/2006/main">
  <authors>
    <author/>
  </authors>
  <commentList>
    <comment ref="AC14" authorId="0" shapeId="0">
      <text>
        <r>
          <rPr>
            <sz val="11"/>
            <color theme="1"/>
            <rFont val="Calibri"/>
            <scheme val="minor"/>
          </rPr>
          <t>ON 14.10.2020- 50 LTRS DIESEL CONSUMED DUE TO EB CABLE FAULT
	-Prakash B</t>
        </r>
      </text>
    </comment>
    <comment ref="AG14" authorId="0" shapeId="0">
      <text>
        <r>
          <rPr>
            <sz val="11"/>
            <color theme="1"/>
            <rFont val="Calibri"/>
            <scheme val="minor"/>
          </rPr>
          <t>ON 13.10.2020-100 LTRS
ON  14.10.2020-50 LTRS DIESEL CONSUMED DUE TO EB CABLE FAULT
	-Prakash B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G20" authorId="0" shapeId="0">
      <text>
        <r>
          <rPr>
            <sz val="11"/>
            <color theme="1"/>
            <rFont val="Calibri"/>
            <scheme val="minor"/>
          </rPr>
          <t>23.11.2020-50 LTRS
----
23.11.2020-50 LTRS DIESEL CONSUMED
	-Prakash B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8" authorId="0" shapeId="0">
      <text>
        <r>
          <rPr>
            <sz val="11"/>
            <color theme="1"/>
            <rFont val="Calibri"/>
            <scheme val="minor"/>
          </rPr>
          <t>05.12.2020,06.12.2020 Due to power shut down Reading not taken</t>
        </r>
      </text>
    </comment>
    <comment ref="A20" authorId="0" shapeId="0">
      <text>
        <r>
          <rPr>
            <sz val="11"/>
            <color theme="1"/>
            <rFont val="Calibri"/>
            <scheme val="minor"/>
          </rPr>
          <t xml:space="preserve">20.12.2020-SUNDAY READING NOT TAKEN
</t>
        </r>
      </text>
    </comment>
    <comment ref="A26" authorId="0" shapeId="0">
      <text>
        <r>
          <rPr>
            <sz val="11"/>
            <color theme="1"/>
            <rFont val="Calibri"/>
            <scheme val="minor"/>
          </rPr>
          <t xml:space="preserve">27.12.2020-Sunday Reading not taken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C6" authorId="0" shapeId="0">
      <text>
        <r>
          <rPr>
            <sz val="11"/>
            <color theme="1"/>
            <rFont val="Calibri"/>
            <scheme val="minor"/>
          </rPr>
          <t>04.01.2021-100 LTRS DIESEL CONSUMED
	-Prakash B</t>
        </r>
      </text>
    </comment>
    <comment ref="AB7" authorId="0" shapeId="0">
      <text>
        <r>
          <rPr>
            <sz val="11"/>
            <color theme="1"/>
            <rFont val="Calibri"/>
            <scheme val="minor"/>
          </rPr>
          <t>125 KVA GENSET 1 HOUR RAN ON 04.01.2021
	-Prakash B</t>
        </r>
      </text>
    </comment>
    <comment ref="A12" authorId="0" shapeId="0">
      <text>
        <r>
          <rPr>
            <sz val="11"/>
            <color theme="1"/>
            <rFont val="Calibri"/>
            <scheme val="minor"/>
          </rPr>
          <t xml:space="preserve">10.11.2021 -SUNDAY READING NOT TAKEN
</t>
        </r>
      </text>
    </comment>
    <comment ref="A15" authorId="0" shapeId="0">
      <text>
        <r>
          <rPr>
            <sz val="11"/>
            <color theme="1"/>
            <rFont val="Calibri"/>
            <scheme val="minor"/>
          </rPr>
          <t>(14.01.2021-17.01.2021)-Reading not taken due to pongal holidays</t>
        </r>
      </text>
    </comment>
    <comment ref="A21" authorId="0" shapeId="0">
      <text>
        <r>
          <rPr>
            <sz val="11"/>
            <color theme="1"/>
            <rFont val="Calibri"/>
            <scheme val="minor"/>
          </rPr>
          <t xml:space="preserve">24.01.2021-SUNDAY READING NOT TAKEN
</t>
        </r>
      </text>
    </comment>
    <comment ref="A26" authorId="0" shapeId="0">
      <text>
        <r>
          <rPr>
            <sz val="11"/>
            <color theme="1"/>
            <rFont val="Calibri"/>
            <scheme val="minor"/>
          </rPr>
          <t xml:space="preserve">31.01.201-SUNDAY READING NOT TAKEN
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9" authorId="0" shapeId="0">
      <text>
        <r>
          <rPr>
            <sz val="11"/>
            <color theme="1"/>
            <rFont val="Calibri"/>
            <scheme val="minor"/>
          </rPr>
          <t xml:space="preserve">07.02.2021-SUNDAY READING NOT TAKEN
</t>
        </r>
      </text>
    </comment>
    <comment ref="A15" authorId="0" shapeId="0">
      <text>
        <r>
          <rPr>
            <sz val="11"/>
            <color theme="1"/>
            <rFont val="Calibri"/>
            <scheme val="minor"/>
          </rPr>
          <t>14.02.2021-SUNDAY READING NOT TAKEN</t>
        </r>
      </text>
    </comment>
    <comment ref="AC18" authorId="0" shapeId="0">
      <text>
        <r>
          <rPr>
            <sz val="11"/>
            <color theme="1"/>
            <rFont val="Calibri"/>
            <scheme val="minor"/>
          </rPr>
          <t>18.02.2021-50 LTRS DIESEL CONSUMED
	-Prakash B</t>
        </r>
      </text>
    </comment>
    <comment ref="AG18" authorId="0" shapeId="0">
      <text>
        <r>
          <rPr>
            <sz val="11"/>
            <color theme="1"/>
            <rFont val="Calibri"/>
            <scheme val="minor"/>
          </rPr>
          <t>18.02.2021-50 LTRS DIESEL CONSUMED
	-Prakash B</t>
        </r>
      </text>
    </comment>
    <comment ref="A21" authorId="0" shapeId="0">
      <text>
        <r>
          <rPr>
            <sz val="11"/>
            <color theme="1"/>
            <rFont val="Calibri"/>
            <scheme val="minor"/>
          </rPr>
          <t xml:space="preserve">21.02.2021-SUNDAY READING NOT TAKEN
</t>
        </r>
      </text>
    </comment>
  </commentList>
</comments>
</file>

<file path=xl/sharedStrings.xml><?xml version="1.0" encoding="utf-8"?>
<sst xmlns="http://schemas.openxmlformats.org/spreadsheetml/2006/main" count="1047" uniqueCount="384">
  <si>
    <t>Date</t>
  </si>
  <si>
    <t>Main service (513)</t>
  </si>
  <si>
    <t>Boys Hostel (846)</t>
  </si>
  <si>
    <t>Boys Hostel DG Set - 25 kVA</t>
  </si>
  <si>
    <t>Canteen (520)</t>
  </si>
  <si>
    <t>Total EB units</t>
  </si>
  <si>
    <t>Solar Plant Generation in kWh</t>
  </si>
  <si>
    <t>DG Set - 125 kVA</t>
  </si>
  <si>
    <t>DG Set -62.5 kVA</t>
  </si>
  <si>
    <t>Solar Units Generation</t>
  </si>
  <si>
    <t>Solar Units Export to EB Grid</t>
  </si>
  <si>
    <t>Solar Units consumption in Campus</t>
  </si>
  <si>
    <t>EB Units &amp; DG Units Consumption</t>
  </si>
  <si>
    <t>Total Units Consumption in Campus</t>
  </si>
  <si>
    <t>Import Units in kWh</t>
  </si>
  <si>
    <t>Export Units in kWh</t>
  </si>
  <si>
    <t>Import Average PF</t>
  </si>
  <si>
    <t>Export Average PF</t>
  </si>
  <si>
    <t>MF</t>
  </si>
  <si>
    <t>Solar Generation Export Units</t>
  </si>
  <si>
    <t>Units Consumption from EB</t>
  </si>
  <si>
    <t>kWh reading</t>
  </si>
  <si>
    <t>Average PF</t>
  </si>
  <si>
    <t xml:space="preserve">Units Consumption </t>
  </si>
  <si>
    <t>kWh Reading</t>
  </si>
  <si>
    <t>Units Generated</t>
  </si>
  <si>
    <t>Running Hrs</t>
  </si>
  <si>
    <t>Diesel Consumption in Ltrs</t>
  </si>
  <si>
    <t>Solar Unit -1</t>
  </si>
  <si>
    <t>Solar Unit -2</t>
  </si>
  <si>
    <t>Solar Unit -3</t>
  </si>
  <si>
    <t>Total Units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</si>
  <si>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</si>
  <si>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</si>
  <si>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</si>
  <si>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</si>
  <si>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</si>
  <si>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</si>
  <si>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</si>
  <si>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</si>
  <si>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</si>
  <si>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</si>
  <si>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</si>
  <si>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13.07.2020</t>
  </si>
  <si>
    <t>14.07.2020</t>
  </si>
  <si>
    <t>15.07.2020</t>
  </si>
  <si>
    <t>16.07.2020</t>
  </si>
  <si>
    <t>17.07.2020</t>
  </si>
  <si>
    <t>18.07.2020</t>
  </si>
  <si>
    <t>20.07.2020</t>
  </si>
  <si>
    <t>21.07.2020</t>
  </si>
  <si>
    <t>22.07.2020</t>
  </si>
  <si>
    <t>23.07.2020</t>
  </si>
  <si>
    <t>24.07.2020</t>
  </si>
  <si>
    <t>25.07.2020</t>
  </si>
  <si>
    <t>27.07.2020</t>
  </si>
  <si>
    <t>28.07.2020</t>
  </si>
  <si>
    <t>29.07.2020</t>
  </si>
  <si>
    <t>30.07.2020</t>
  </si>
  <si>
    <t>31.07.2020</t>
  </si>
  <si>
    <t>01.08.2020</t>
  </si>
  <si>
    <t>03.08.2020</t>
  </si>
  <si>
    <t>04.08.2020</t>
  </si>
  <si>
    <t>05.08.2020</t>
  </si>
  <si>
    <t>06.08.2020</t>
  </si>
  <si>
    <t>07.08.2020-
12.08.2020</t>
  </si>
  <si>
    <t>13.08.2020</t>
  </si>
  <si>
    <t>14.08.2020</t>
  </si>
  <si>
    <t>15.08.2020</t>
  </si>
  <si>
    <t>17.08.2020</t>
  </si>
  <si>
    <t>18.08.2020</t>
  </si>
  <si>
    <t>19.08.2020</t>
  </si>
  <si>
    <t>21.08.2020</t>
  </si>
  <si>
    <t>22.08.2020</t>
  </si>
  <si>
    <t>24.08.2020</t>
  </si>
  <si>
    <t>25.08.2020</t>
  </si>
  <si>
    <t>26.08.2020</t>
  </si>
  <si>
    <t>27.08.2020</t>
  </si>
  <si>
    <t>28.08.2020</t>
  </si>
  <si>
    <t>29.08.2020</t>
  </si>
  <si>
    <t>31.08.2020</t>
  </si>
  <si>
    <t>01.09.2020</t>
  </si>
  <si>
    <t>ENGG Block</t>
  </si>
  <si>
    <t>kwh Reading</t>
  </si>
  <si>
    <t>Unit Consumption</t>
  </si>
  <si>
    <t>-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</si>
  <si>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</si>
  <si>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</si>
  <si>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</si>
  <si>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</si>
  <si>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</si>
  <si>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</si>
  <si>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</si>
  <si>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</si>
  <si>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</si>
  <si>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</si>
  <si>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</si>
  <si>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</si>
  <si>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</si>
  <si>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</si>
  <si>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</si>
  <si>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</si>
  <si>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</si>
  <si>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</si>
  <si>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</si>
  <si>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</si>
  <si>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</si>
  <si>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</si>
  <si>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</si>
  <si>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</si>
  <si>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</si>
  <si>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</si>
  <si>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</si>
  <si>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</si>
  <si>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</si>
  <si>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</si>
  <si>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</si>
  <si>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</si>
  <si>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05.10.2020</t>
  </si>
  <si>
    <t>06.10.2020</t>
  </si>
  <si>
    <t>07.10.2020</t>
  </si>
  <si>
    <t>08.10.2020</t>
  </si>
  <si>
    <t>09.10.2020</t>
  </si>
  <si>
    <t>10.10.2020</t>
  </si>
  <si>
    <t>12.10.2020</t>
  </si>
  <si>
    <t>15.10.2020</t>
  </si>
  <si>
    <t>16.10.2020</t>
  </si>
  <si>
    <t>17.10.2020</t>
  </si>
  <si>
    <t>19.10.2020</t>
  </si>
  <si>
    <t>20.10.2020</t>
  </si>
  <si>
    <t>21.10.2020</t>
  </si>
  <si>
    <t>22.10.2020</t>
  </si>
  <si>
    <t>23.10.2020</t>
  </si>
  <si>
    <t>24.10.2020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</si>
  <si>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</si>
  <si>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</si>
  <si>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</si>
  <si>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</si>
  <si>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</si>
  <si>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</si>
  <si>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</si>
  <si>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</si>
  <si>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</si>
  <si>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</si>
  <si>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</si>
  <si>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</si>
  <si>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</si>
  <si>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</si>
  <si>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</si>
  <si>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16.11.2020</t>
  </si>
  <si>
    <t>17.11.2020</t>
  </si>
  <si>
    <t>18.11.2020</t>
  </si>
  <si>
    <t>19.11.2020</t>
  </si>
  <si>
    <t>20.11.2020</t>
  </si>
  <si>
    <t>21.11.2020</t>
  </si>
  <si>
    <t>23.11.2020</t>
  </si>
  <si>
    <t>24.11.2020</t>
  </si>
  <si>
    <t>25.11.2020</t>
  </si>
  <si>
    <t>26.11.2020</t>
  </si>
  <si>
    <t>27.11.2020</t>
  </si>
  <si>
    <t>28.11.2020</t>
  </si>
  <si>
    <t>30.11.2020</t>
  </si>
  <si>
    <t>01.09.2021</t>
  </si>
  <si>
    <t>02.09.2021</t>
  </si>
  <si>
    <t>03.09.2021</t>
  </si>
  <si>
    <t>04.09.2021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</si>
  <si>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</si>
  <si>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</si>
  <si>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</si>
  <si>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</si>
  <si>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</si>
  <si>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</si>
  <si>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</si>
  <si>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</si>
  <si>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</si>
  <si>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</si>
  <si>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</si>
  <si>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</si>
  <si>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</si>
  <si>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20.09.2021</t>
  </si>
  <si>
    <t>21.09.2021</t>
  </si>
  <si>
    <t>22.09.2021</t>
  </si>
  <si>
    <t>`23.09.2021</t>
  </si>
  <si>
    <t>24.09.2021</t>
  </si>
  <si>
    <t>25.09.2021</t>
  </si>
  <si>
    <t>27.09.2021</t>
  </si>
  <si>
    <t>28.09.2021</t>
  </si>
  <si>
    <t>29.09.2021</t>
  </si>
  <si>
    <t>30.09.2021</t>
  </si>
  <si>
    <t>01.10.2021</t>
  </si>
  <si>
    <t>01.12.2020</t>
  </si>
  <si>
    <t>02.12.2020</t>
  </si>
  <si>
    <t>03.12.2020</t>
  </si>
  <si>
    <t>04.12.2020</t>
  </si>
  <si>
    <t>07.12.2020</t>
  </si>
  <si>
    <t>08.12.2020</t>
  </si>
  <si>
    <t>09.12.2020</t>
  </si>
  <si>
    <t>10.12.2020</t>
  </si>
  <si>
    <t>11.12.2020</t>
  </si>
  <si>
    <t>12.12.2020</t>
  </si>
  <si>
    <t>14.12.2020</t>
  </si>
  <si>
    <t>15.12.2020</t>
  </si>
  <si>
    <t>16.12.2020</t>
  </si>
  <si>
    <t>17.12.2020</t>
  </si>
  <si>
    <t>18.12.2020</t>
  </si>
  <si>
    <t>19.12.2020</t>
  </si>
  <si>
    <t>21.12.2020</t>
  </si>
  <si>
    <t>22.12.2020</t>
  </si>
  <si>
    <t>23.12.2020</t>
  </si>
  <si>
    <t>24.12.2020</t>
  </si>
  <si>
    <t>25.12.2020</t>
  </si>
  <si>
    <t>26.12.2020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</si>
  <si>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</si>
  <si>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</si>
  <si>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</si>
  <si>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</si>
  <si>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</si>
  <si>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</si>
  <si>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</si>
  <si>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</si>
  <si>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</si>
  <si>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</si>
  <si>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</si>
  <si>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</si>
  <si>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</si>
  <si>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11.01.2021</t>
  </si>
  <si>
    <t>12.01.2021</t>
  </si>
  <si>
    <t>13.01.2021</t>
  </si>
  <si>
    <t>18.01.2021</t>
  </si>
  <si>
    <t>19.01.2021</t>
  </si>
  <si>
    <t>20.01.2021</t>
  </si>
  <si>
    <t>21.01.2021</t>
  </si>
  <si>
    <t>22.01.2021</t>
  </si>
  <si>
    <t>23.01.2021</t>
  </si>
  <si>
    <t>25.01.2021</t>
  </si>
  <si>
    <t>26.01.2021</t>
  </si>
  <si>
    <t>27.01.2021</t>
  </si>
  <si>
    <t>28.01.2021</t>
  </si>
  <si>
    <t>29.01.2021</t>
  </si>
  <si>
    <t>30.01.2021</t>
  </si>
  <si>
    <t>01.02.2021</t>
  </si>
  <si>
    <t>02.02.2021</t>
  </si>
  <si>
    <t>03.02.2021</t>
  </si>
  <si>
    <t>04.02.2021</t>
  </si>
  <si>
    <t>05.02.2021</t>
  </si>
  <si>
    <t>06.02.2021</t>
  </si>
  <si>
    <t>08.02.2021</t>
  </si>
  <si>
    <t>09.02.2021</t>
  </si>
  <si>
    <t>10.02.2021</t>
  </si>
  <si>
    <t>11.02.2021</t>
  </si>
  <si>
    <t>12.02.2021</t>
  </si>
  <si>
    <t>13.02.2021</t>
  </si>
  <si>
    <t>15.02.2021</t>
  </si>
  <si>
    <t>16.02.2021</t>
  </si>
  <si>
    <t>17.02.2021</t>
  </si>
  <si>
    <t>18.02.2021</t>
  </si>
  <si>
    <t>19.02.2021</t>
  </si>
  <si>
    <t>20.02.2021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</si>
  <si>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</si>
  <si>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</si>
  <si>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</si>
  <si>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</si>
  <si>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</si>
  <si>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</si>
  <si>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</si>
  <si>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1.10.2021</t>
  </si>
  <si>
    <t>2.10.2021</t>
  </si>
  <si>
    <t>3.10.2021</t>
  </si>
  <si>
    <t>4.10.2021</t>
  </si>
  <si>
    <t>5.10.2021</t>
  </si>
  <si>
    <t>6.10.2021</t>
  </si>
  <si>
    <t>7.10.2021</t>
  </si>
  <si>
    <t>8.10.2021</t>
  </si>
  <si>
    <t>9.10.2021</t>
  </si>
  <si>
    <t>11.10.2021</t>
  </si>
  <si>
    <t>12.10.2021</t>
  </si>
  <si>
    <t>13.10.2021</t>
  </si>
  <si>
    <t>14.10.2021</t>
  </si>
  <si>
    <t>16.10.2021</t>
  </si>
  <si>
    <t>18.10.2021</t>
  </si>
  <si>
    <t>19.10.2021</t>
  </si>
  <si>
    <t>20.10.2021</t>
  </si>
  <si>
    <t>21.10.2021</t>
  </si>
  <si>
    <t>22.10.2021</t>
  </si>
  <si>
    <t>23.10.2021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</si>
  <si>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</si>
  <si>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</si>
  <si>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</si>
  <si>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</si>
  <si>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</si>
  <si>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</si>
  <si>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</si>
  <si>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</si>
  <si>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</si>
  <si>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</si>
  <si>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4,5,6.11.2021</t>
  </si>
  <si>
    <t>7,8.11.2021</t>
  </si>
  <si>
    <t>09.11.2021</t>
  </si>
  <si>
    <t>10,11.11.2021</t>
  </si>
  <si>
    <t>12.11.2021</t>
  </si>
  <si>
    <t>13.11.2021</t>
  </si>
  <si>
    <t>14,15,16.11.2021</t>
  </si>
  <si>
    <t>17.11.2021</t>
  </si>
  <si>
    <t>18.11.2021</t>
  </si>
  <si>
    <t>19.11.2021</t>
  </si>
  <si>
    <t>20.11.2021</t>
  </si>
  <si>
    <t>21,22.11.2021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</si>
  <si>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</si>
  <si>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</si>
  <si>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</si>
  <si>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</si>
  <si>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</si>
  <si>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</si>
  <si>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</si>
  <si>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</si>
  <si>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</si>
  <si>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</si>
  <si>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</si>
  <si>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4,5.12.2021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</si>
  <si>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</si>
  <si>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</si>
  <si>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</si>
  <si>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</si>
  <si>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</si>
  <si>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</si>
  <si>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</si>
  <si>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</si>
  <si>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</si>
  <si>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</si>
  <si>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</si>
  <si>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</si>
  <si>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</si>
  <si>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</si>
  <si>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</si>
  <si>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</si>
  <si>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</si>
  <si>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</si>
  <si>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</si>
  <si>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</si>
  <si>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</si>
  <si>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</si>
  <si>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</si>
  <si>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</si>
  <si>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</si>
  <si>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</si>
  <si>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</si>
  <si>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</si>
  <si>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</si>
  <si>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</si>
  <si>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</si>
  <si>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</si>
  <si>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</si>
  <si>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</si>
  <si>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</si>
  <si>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</si>
  <si>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</si>
  <si>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21.08.22</t>
  </si>
  <si>
    <t>22.08.22</t>
  </si>
  <si>
    <t>23.08.22</t>
  </si>
  <si>
    <t>24.08.22</t>
  </si>
  <si>
    <t>25.08.22</t>
  </si>
  <si>
    <t>26.08.22</t>
  </si>
  <si>
    <t>27.08.22</t>
  </si>
  <si>
    <t>28.08.22</t>
  </si>
  <si>
    <t>29.08.22</t>
  </si>
  <si>
    <t>30.08.22</t>
  </si>
  <si>
    <t>31.08.22</t>
  </si>
  <si>
    <t>01.09.22</t>
  </si>
  <si>
    <t>02.09.22</t>
  </si>
  <si>
    <t>03.09.22</t>
  </si>
  <si>
    <t>04.09.22</t>
  </si>
  <si>
    <t>05.09.22</t>
  </si>
  <si>
    <t>06.09.22</t>
  </si>
  <si>
    <t>07.09.22</t>
  </si>
  <si>
    <t>08.09.22</t>
  </si>
  <si>
    <t>09.09.22</t>
  </si>
  <si>
    <t>10.09/22</t>
  </si>
  <si>
    <t>11.09.22</t>
  </si>
  <si>
    <t>12.09.22</t>
  </si>
  <si>
    <t>13.09.22</t>
  </si>
  <si>
    <t>14.09.22</t>
  </si>
  <si>
    <t>15.09.22</t>
  </si>
  <si>
    <t>16.09.22</t>
  </si>
  <si>
    <t>17.09.22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</si>
</sst>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>
    <font>
      <sz val="11"/>
      <color theme="1"/>
      <name val="Calibri"/>
      <scheme val="minor"/>
    </font>
    <font>
      <b/>
      <sz val="11"/>
      <color rgb="FF000000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1"/>
      <color rgb="FF000000"/>
      <name val="&quot;Times New Roman&quot;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5" fillId="4" borderId="8" xfId="0" applyNumberFormat="1" applyFont="1" applyFill="1" applyBorder="1" applyAlignment="1">
      <alignment horizontal="center" vertical="center"/>
    </xf>
    <xf numFmtId="2" fontId="3" fillId="6" borderId="8" xfId="0" applyNumberFormat="1" applyFont="1" applyFill="1" applyBorder="1" applyAlignment="1">
      <alignment horizontal="center" vertical="center"/>
    </xf>
    <xf numFmtId="2" fontId="4" fillId="6" borderId="8" xfId="0" applyNumberFormat="1" applyFont="1" applyFill="1" applyBorder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7" fillId="7" borderId="0" xfId="0" applyFont="1" applyFill="1"/>
    <xf numFmtId="0" fontId="3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9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0" xfId="0" applyFont="1" applyBorder="1"/>
    <xf numFmtId="0" fontId="1" fillId="0" borderId="1" xfId="0" applyFont="1" applyBorder="1" applyAlignment="1">
      <alignment horizontal="center" vertical="center"/>
    </xf>
    <xf numFmtId="0" fontId="2" fillId="0" borderId="7" xfId="0" applyFont="1" applyBorder="1"/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J9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6" width="14.42578125" customWidth="1"/>
  </cols>
  <sheetData>
    <row r="1" spans="1:36">
      <c r="A1" s="68" t="s">
        <v>0</v>
      </c>
      <c r="B1" s="70" t="s">
        <v>1</v>
      </c>
      <c r="C1" s="61"/>
      <c r="D1" s="61"/>
      <c r="E1" s="61"/>
      <c r="F1" s="61"/>
      <c r="G1" s="61"/>
      <c r="H1" s="62"/>
      <c r="I1" s="70" t="s">
        <v>2</v>
      </c>
      <c r="J1" s="61"/>
      <c r="K1" s="62"/>
      <c r="L1" s="70" t="s">
        <v>3</v>
      </c>
      <c r="M1" s="61"/>
      <c r="N1" s="61"/>
      <c r="O1" s="62"/>
      <c r="P1" s="70" t="s">
        <v>4</v>
      </c>
      <c r="Q1" s="61"/>
      <c r="R1" s="62"/>
      <c r="S1" s="71" t="s">
        <v>5</v>
      </c>
      <c r="T1" s="60" t="s">
        <v>6</v>
      </c>
      <c r="U1" s="61"/>
      <c r="V1" s="61"/>
      <c r="W1" s="62"/>
      <c r="X1" s="60" t="s">
        <v>7</v>
      </c>
      <c r="Y1" s="61"/>
      <c r="Z1" s="61"/>
      <c r="AA1" s="62"/>
      <c r="AB1" s="60" t="s">
        <v>8</v>
      </c>
      <c r="AC1" s="61"/>
      <c r="AD1" s="61"/>
      <c r="AE1" s="61"/>
      <c r="AF1" s="63" t="s">
        <v>9</v>
      </c>
      <c r="AG1" s="63" t="s">
        <v>10</v>
      </c>
      <c r="AH1" s="63" t="s">
        <v>11</v>
      </c>
      <c r="AI1" s="65" t="s">
        <v>12</v>
      </c>
      <c r="AJ1" s="66" t="s">
        <v>13</v>
      </c>
    </row>
    <row r="2" spans="1:36" ht="45">
      <c r="A2" s="69"/>
      <c r="B2" s="1" t="s">
        <v>14</v>
      </c>
      <c r="C2" s="1" t="s">
        <v>15</v>
      </c>
      <c r="D2" s="1" t="s">
        <v>16</v>
      </c>
      <c r="E2" s="1" t="s">
        <v>17</v>
      </c>
      <c r="F2" s="2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21</v>
      </c>
      <c r="Q2" s="1" t="s">
        <v>22</v>
      </c>
      <c r="R2" s="1" t="s">
        <v>23</v>
      </c>
      <c r="S2" s="69"/>
      <c r="T2" s="2" t="s">
        <v>28</v>
      </c>
      <c r="U2" s="2" t="s">
        <v>29</v>
      </c>
      <c r="V2" s="2" t="s">
        <v>30</v>
      </c>
      <c r="W2" s="2" t="s">
        <v>31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24</v>
      </c>
      <c r="AC2" s="1" t="s">
        <v>25</v>
      </c>
      <c r="AD2" s="1" t="s">
        <v>26</v>
      </c>
      <c r="AE2" s="3" t="s">
        <v>27</v>
      </c>
      <c r="AF2" s="64"/>
      <c r="AG2" s="64"/>
      <c r="AH2" s="64"/>
      <c r="AI2" s="64"/>
      <c r="AJ2" s="67"/>
    </row>
    <row r="3" spans="1:36" ht="26.25" customHeight="1">
      <c r="A3" s="4" t="s">
        <v>32</v>
      </c>
      <c r="B3" s="4">
        <v>113.86</v>
      </c>
      <c r="C3" s="4">
        <v>56.45</v>
      </c>
      <c r="D3" s="4">
        <v>0.69799999999999995</v>
      </c>
      <c r="E3" s="4">
        <v>0.72199999999999998</v>
      </c>
      <c r="F3" s="4">
        <v>40</v>
      </c>
      <c r="G3" s="5">
        <f t="shared" ref="G3:G30" si="0">(C4-C3)*40</f>
        <v>44.399999999999977</v>
      </c>
      <c r="H3" s="6">
        <f t="shared" ref="H3:H30" si="1">(B4-B3)*40</f>
        <v>118.00000000000011</v>
      </c>
      <c r="I3" s="4">
        <v>76323.509999999995</v>
      </c>
      <c r="J3" s="4">
        <v>0.97099999999999997</v>
      </c>
      <c r="K3" s="7">
        <f t="shared" ref="K3:K30" si="2">(I4-I3)</f>
        <v>3.2400000000052387</v>
      </c>
      <c r="L3" s="4">
        <v>75</v>
      </c>
      <c r="M3" s="8">
        <f t="shared" ref="M3:M30" si="3">(L4-L3)</f>
        <v>0</v>
      </c>
      <c r="N3" s="4">
        <v>506</v>
      </c>
      <c r="O3" s="4">
        <v>0</v>
      </c>
      <c r="P3" s="4">
        <v>127476.9</v>
      </c>
      <c r="Q3" s="4">
        <v>0.98</v>
      </c>
      <c r="R3" s="9">
        <f t="shared" ref="R3:R30" si="4">(P4-P3)</f>
        <v>28.25</v>
      </c>
      <c r="S3" s="10">
        <f t="shared" ref="S3:S30" si="5">(H3+K3+M3+R3)</f>
        <v>149.49000000000535</v>
      </c>
      <c r="T3" s="4">
        <v>30</v>
      </c>
      <c r="U3" s="4">
        <v>26</v>
      </c>
      <c r="V3" s="4">
        <v>29</v>
      </c>
      <c r="W3" s="11">
        <f t="shared" ref="W3:W30" si="6">SUM(T3:V3)</f>
        <v>85</v>
      </c>
      <c r="X3" s="4">
        <v>65.36</v>
      </c>
      <c r="Y3" s="8">
        <f t="shared" ref="Y3:Y30" si="7">(X4-X3)</f>
        <v>0</v>
      </c>
      <c r="Z3" s="12">
        <v>3006.9</v>
      </c>
      <c r="AA3" s="4">
        <v>0</v>
      </c>
      <c r="AB3" s="4">
        <v>18025</v>
      </c>
      <c r="AC3" s="8">
        <f t="shared" ref="AC3:AC30" si="8">(AB4-AB3)</f>
        <v>2</v>
      </c>
      <c r="AD3" s="4">
        <v>1178.3</v>
      </c>
      <c r="AE3" s="13">
        <v>0</v>
      </c>
      <c r="AF3" s="14">
        <f t="shared" ref="AF3:AF31" si="9">W3</f>
        <v>85</v>
      </c>
      <c r="AG3" s="15">
        <f t="shared" ref="AG3:AG30" si="10">G3</f>
        <v>44.399999999999977</v>
      </c>
      <c r="AH3" s="16">
        <f t="shared" ref="AH3:AH30" si="11">(AF3-AG3)</f>
        <v>40.600000000000023</v>
      </c>
      <c r="AI3" s="17">
        <f t="shared" ref="AI3:AI30" si="12">(S3+Y3+AC3)</f>
        <v>151.49000000000535</v>
      </c>
      <c r="AJ3" s="18">
        <f t="shared" ref="AJ3:AJ30" si="13">(AH3+AI3)</f>
        <v>192.09000000000538</v>
      </c>
    </row>
    <row r="4" spans="1:36" ht="26.25" customHeight="1">
      <c r="A4" s="4" t="s">
        <v>33</v>
      </c>
      <c r="B4" s="4">
        <v>116.81</v>
      </c>
      <c r="C4" s="4">
        <v>57.56</v>
      </c>
      <c r="D4" s="19">
        <v>0.7</v>
      </c>
      <c r="E4" s="4">
        <v>0.71099999999999997</v>
      </c>
      <c r="F4" s="4">
        <v>40</v>
      </c>
      <c r="G4" s="5">
        <f t="shared" si="0"/>
        <v>68.799999999999955</v>
      </c>
      <c r="H4" s="6">
        <f t="shared" si="1"/>
        <v>108.00000000000011</v>
      </c>
      <c r="I4" s="4">
        <v>76326.75</v>
      </c>
      <c r="J4" s="4">
        <v>0.97099999999999997</v>
      </c>
      <c r="K4" s="7">
        <f t="shared" si="2"/>
        <v>0.30000000000291038</v>
      </c>
      <c r="L4" s="4">
        <v>75</v>
      </c>
      <c r="M4" s="8">
        <f t="shared" si="3"/>
        <v>0</v>
      </c>
      <c r="N4" s="4">
        <v>506</v>
      </c>
      <c r="O4" s="4">
        <v>0</v>
      </c>
      <c r="P4" s="4">
        <v>127505.15</v>
      </c>
      <c r="Q4" s="4">
        <v>0.91</v>
      </c>
      <c r="R4" s="9">
        <f t="shared" si="4"/>
        <v>7.6200000000098953</v>
      </c>
      <c r="S4" s="10">
        <f t="shared" si="5"/>
        <v>115.92000000001292</v>
      </c>
      <c r="T4" s="4">
        <v>39</v>
      </c>
      <c r="U4" s="4">
        <v>44</v>
      </c>
      <c r="V4" s="4">
        <v>52</v>
      </c>
      <c r="W4" s="11">
        <f t="shared" si="6"/>
        <v>135</v>
      </c>
      <c r="X4" s="4">
        <v>65.36</v>
      </c>
      <c r="Y4" s="8">
        <f t="shared" si="7"/>
        <v>3.0000000000001137E-2</v>
      </c>
      <c r="Z4" s="12">
        <v>3006.9</v>
      </c>
      <c r="AA4" s="4">
        <v>0</v>
      </c>
      <c r="AB4" s="4">
        <v>18027</v>
      </c>
      <c r="AC4" s="8">
        <f t="shared" si="8"/>
        <v>2</v>
      </c>
      <c r="AD4" s="4">
        <v>1178.7</v>
      </c>
      <c r="AE4" s="13">
        <v>0</v>
      </c>
      <c r="AF4" s="20">
        <f t="shared" si="9"/>
        <v>135</v>
      </c>
      <c r="AG4" s="21">
        <f t="shared" si="10"/>
        <v>68.799999999999955</v>
      </c>
      <c r="AH4" s="22">
        <f t="shared" si="11"/>
        <v>66.200000000000045</v>
      </c>
      <c r="AI4" s="17">
        <f t="shared" si="12"/>
        <v>117.95000000001292</v>
      </c>
      <c r="AJ4" s="18">
        <f t="shared" si="13"/>
        <v>184.15000000001297</v>
      </c>
    </row>
    <row r="5" spans="1:36" ht="26.25" customHeight="1">
      <c r="A5" s="4" t="s">
        <v>34</v>
      </c>
      <c r="B5" s="4">
        <v>119.51</v>
      </c>
      <c r="C5" s="4">
        <v>59.28</v>
      </c>
      <c r="D5" s="4">
        <v>0.71699999999999997</v>
      </c>
      <c r="E5" s="4">
        <v>0.75600000000000001</v>
      </c>
      <c r="F5" s="4">
        <v>40</v>
      </c>
      <c r="G5" s="5">
        <f t="shared" si="0"/>
        <v>8.7999999999999545</v>
      </c>
      <c r="H5" s="6">
        <f t="shared" si="1"/>
        <v>239.5999999999998</v>
      </c>
      <c r="I5" s="4">
        <v>76327.05</v>
      </c>
      <c r="J5" s="4">
        <v>0.97199999999999998</v>
      </c>
      <c r="K5" s="7">
        <f t="shared" si="2"/>
        <v>8.0299999999988358</v>
      </c>
      <c r="L5" s="4">
        <v>75</v>
      </c>
      <c r="M5" s="8">
        <f t="shared" si="3"/>
        <v>0</v>
      </c>
      <c r="N5" s="4">
        <v>506</v>
      </c>
      <c r="O5" s="4">
        <v>0</v>
      </c>
      <c r="P5" s="4">
        <v>127512.77</v>
      </c>
      <c r="Q5" s="4">
        <v>0.91</v>
      </c>
      <c r="R5" s="9">
        <f t="shared" si="4"/>
        <v>9.9999999947613105E-3</v>
      </c>
      <c r="S5" s="10">
        <f t="shared" si="5"/>
        <v>247.63999999999339</v>
      </c>
      <c r="T5" s="4">
        <v>30</v>
      </c>
      <c r="U5" s="4">
        <v>26</v>
      </c>
      <c r="V5" s="4">
        <v>29</v>
      </c>
      <c r="W5" s="11">
        <f t="shared" si="6"/>
        <v>85</v>
      </c>
      <c r="X5" s="4">
        <v>65.39</v>
      </c>
      <c r="Y5" s="8">
        <f t="shared" si="7"/>
        <v>1.9999999999996021E-2</v>
      </c>
      <c r="Z5" s="12">
        <v>3006.9</v>
      </c>
      <c r="AA5" s="4">
        <v>0</v>
      </c>
      <c r="AB5" s="4">
        <v>18029</v>
      </c>
      <c r="AC5" s="8">
        <f t="shared" si="8"/>
        <v>21</v>
      </c>
      <c r="AD5" s="4">
        <v>1179.0999999999999</v>
      </c>
      <c r="AE5" s="13">
        <v>0</v>
      </c>
      <c r="AF5" s="20">
        <f t="shared" si="9"/>
        <v>85</v>
      </c>
      <c r="AG5" s="21">
        <f t="shared" si="10"/>
        <v>8.7999999999999545</v>
      </c>
      <c r="AH5" s="22">
        <f t="shared" si="11"/>
        <v>76.200000000000045</v>
      </c>
      <c r="AI5" s="17">
        <f t="shared" si="12"/>
        <v>268.65999999999337</v>
      </c>
      <c r="AJ5" s="18">
        <f t="shared" si="13"/>
        <v>344.85999999999342</v>
      </c>
    </row>
    <row r="6" spans="1:36" ht="26.25" customHeight="1">
      <c r="A6" s="4" t="s">
        <v>35</v>
      </c>
      <c r="B6" s="12">
        <v>125.5</v>
      </c>
      <c r="C6" s="4">
        <v>59.5</v>
      </c>
      <c r="D6" s="4">
        <v>0.71799999999999997</v>
      </c>
      <c r="E6" s="4">
        <v>0.75</v>
      </c>
      <c r="F6" s="4">
        <v>40</v>
      </c>
      <c r="G6" s="5">
        <f t="shared" si="0"/>
        <v>28.000000000000114</v>
      </c>
      <c r="H6" s="6">
        <f t="shared" si="1"/>
        <v>196.00000000000023</v>
      </c>
      <c r="I6" s="4">
        <v>76335.08</v>
      </c>
      <c r="J6" s="4">
        <v>0.95</v>
      </c>
      <c r="K6" s="7">
        <f t="shared" si="2"/>
        <v>1.9900000000052387</v>
      </c>
      <c r="L6" s="4">
        <v>75</v>
      </c>
      <c r="M6" s="8">
        <f t="shared" si="3"/>
        <v>0</v>
      </c>
      <c r="N6" s="4">
        <v>506</v>
      </c>
      <c r="O6" s="4">
        <v>0</v>
      </c>
      <c r="P6" s="4">
        <v>127512.78</v>
      </c>
      <c r="Q6" s="4">
        <v>0.92</v>
      </c>
      <c r="R6" s="9">
        <f t="shared" si="4"/>
        <v>9.9999999947613105E-3</v>
      </c>
      <c r="S6" s="10">
        <f t="shared" si="5"/>
        <v>198.00000000000023</v>
      </c>
      <c r="T6" s="4">
        <v>7</v>
      </c>
      <c r="U6" s="4">
        <v>7</v>
      </c>
      <c r="V6" s="4">
        <v>7</v>
      </c>
      <c r="W6" s="11">
        <f t="shared" si="6"/>
        <v>21</v>
      </c>
      <c r="X6" s="4">
        <v>65.41</v>
      </c>
      <c r="Y6" s="8">
        <f t="shared" si="7"/>
        <v>1.0000000000005116E-2</v>
      </c>
      <c r="Z6" s="12">
        <v>3009.5</v>
      </c>
      <c r="AA6" s="4">
        <v>0</v>
      </c>
      <c r="AB6" s="4">
        <v>18050</v>
      </c>
      <c r="AC6" s="8">
        <f t="shared" si="8"/>
        <v>1</v>
      </c>
      <c r="AD6" s="4">
        <v>1182</v>
      </c>
      <c r="AE6" s="13">
        <v>0</v>
      </c>
      <c r="AF6" s="20">
        <f t="shared" si="9"/>
        <v>21</v>
      </c>
      <c r="AG6" s="21">
        <f t="shared" si="10"/>
        <v>28.000000000000114</v>
      </c>
      <c r="AH6" s="22">
        <f t="shared" si="11"/>
        <v>-7.0000000000001137</v>
      </c>
      <c r="AI6" s="17">
        <f t="shared" si="12"/>
        <v>199.01000000000022</v>
      </c>
      <c r="AJ6" s="18">
        <f t="shared" si="13"/>
        <v>192.0100000000001</v>
      </c>
    </row>
    <row r="7" spans="1:36" ht="26.25" customHeight="1">
      <c r="A7" s="4" t="s">
        <v>36</v>
      </c>
      <c r="B7" s="12">
        <v>130.4</v>
      </c>
      <c r="C7" s="4">
        <v>60.2</v>
      </c>
      <c r="D7" s="4">
        <v>0.74199999999999999</v>
      </c>
      <c r="E7" s="4">
        <v>0.751</v>
      </c>
      <c r="F7" s="4">
        <v>40</v>
      </c>
      <c r="G7" s="5">
        <f t="shared" si="0"/>
        <v>15.999999999999943</v>
      </c>
      <c r="H7" s="6">
        <f t="shared" si="1"/>
        <v>111.20000000000005</v>
      </c>
      <c r="I7" s="4">
        <v>76337.070000000007</v>
      </c>
      <c r="J7" s="4">
        <v>0.95199999999999996</v>
      </c>
      <c r="K7" s="7">
        <f t="shared" si="2"/>
        <v>1.2899999999935972</v>
      </c>
      <c r="L7" s="4">
        <v>75</v>
      </c>
      <c r="M7" s="8">
        <f t="shared" si="3"/>
        <v>0</v>
      </c>
      <c r="N7" s="4">
        <v>506</v>
      </c>
      <c r="O7" s="4">
        <v>0</v>
      </c>
      <c r="P7" s="4">
        <v>127512.79</v>
      </c>
      <c r="Q7" s="4">
        <v>0.97</v>
      </c>
      <c r="R7" s="9">
        <f t="shared" si="4"/>
        <v>0</v>
      </c>
      <c r="S7" s="10">
        <f t="shared" si="5"/>
        <v>112.48999999999364</v>
      </c>
      <c r="T7" s="4">
        <v>0</v>
      </c>
      <c r="U7" s="4">
        <v>0</v>
      </c>
      <c r="V7" s="4">
        <v>0</v>
      </c>
      <c r="W7" s="11">
        <f t="shared" si="6"/>
        <v>0</v>
      </c>
      <c r="X7" s="4">
        <v>65.42</v>
      </c>
      <c r="Y7" s="8">
        <f t="shared" si="7"/>
        <v>0</v>
      </c>
      <c r="Z7" s="4">
        <v>3010.79</v>
      </c>
      <c r="AA7" s="4">
        <v>0</v>
      </c>
      <c r="AB7" s="4">
        <v>18051</v>
      </c>
      <c r="AC7" s="8">
        <f t="shared" si="8"/>
        <v>1</v>
      </c>
      <c r="AD7" s="4">
        <v>1183</v>
      </c>
      <c r="AE7" s="13">
        <v>0</v>
      </c>
      <c r="AF7" s="20">
        <f t="shared" si="9"/>
        <v>0</v>
      </c>
      <c r="AG7" s="21">
        <f t="shared" si="10"/>
        <v>15.999999999999943</v>
      </c>
      <c r="AH7" s="22">
        <f t="shared" si="11"/>
        <v>-15.999999999999943</v>
      </c>
      <c r="AI7" s="17">
        <f t="shared" si="12"/>
        <v>113.48999999999364</v>
      </c>
      <c r="AJ7" s="18">
        <f t="shared" si="13"/>
        <v>97.489999999993699</v>
      </c>
    </row>
    <row r="8" spans="1:36" ht="26.25" customHeight="1">
      <c r="A8" s="4" t="s">
        <v>37</v>
      </c>
      <c r="B8" s="4">
        <v>133.18</v>
      </c>
      <c r="C8" s="4">
        <v>60.6</v>
      </c>
      <c r="D8" s="4">
        <v>0.753</v>
      </c>
      <c r="E8" s="4">
        <v>0.752</v>
      </c>
      <c r="F8" s="4">
        <v>40</v>
      </c>
      <c r="G8" s="5">
        <f t="shared" si="0"/>
        <v>31.999999999999886</v>
      </c>
      <c r="H8" s="6">
        <f t="shared" si="1"/>
        <v>179.59999999999923</v>
      </c>
      <c r="I8" s="4">
        <v>76338.36</v>
      </c>
      <c r="J8" s="4">
        <v>0.95499999999999996</v>
      </c>
      <c r="K8" s="7">
        <f t="shared" si="2"/>
        <v>3.8399999999965075</v>
      </c>
      <c r="L8" s="4">
        <v>75</v>
      </c>
      <c r="M8" s="8">
        <f t="shared" si="3"/>
        <v>0</v>
      </c>
      <c r="N8" s="4">
        <v>506</v>
      </c>
      <c r="O8" s="4">
        <v>0</v>
      </c>
      <c r="P8" s="4">
        <v>127512.79</v>
      </c>
      <c r="Q8" s="4">
        <v>0.97</v>
      </c>
      <c r="R8" s="9">
        <f t="shared" si="4"/>
        <v>1.0000000009313226E-2</v>
      </c>
      <c r="S8" s="10">
        <f t="shared" si="5"/>
        <v>183.45000000000505</v>
      </c>
      <c r="T8" s="4">
        <v>21</v>
      </c>
      <c r="U8" s="4">
        <v>38</v>
      </c>
      <c r="V8" s="4">
        <v>43</v>
      </c>
      <c r="W8" s="11">
        <f t="shared" si="6"/>
        <v>102</v>
      </c>
      <c r="X8" s="4">
        <v>65.42</v>
      </c>
      <c r="Y8" s="8">
        <f t="shared" si="7"/>
        <v>0</v>
      </c>
      <c r="Z8" s="12">
        <v>3010.8</v>
      </c>
      <c r="AA8" s="4">
        <v>0</v>
      </c>
      <c r="AB8" s="4">
        <v>18052</v>
      </c>
      <c r="AC8" s="8">
        <f t="shared" si="8"/>
        <v>1</v>
      </c>
      <c r="AD8" s="4">
        <v>1183</v>
      </c>
      <c r="AE8" s="13">
        <v>0</v>
      </c>
      <c r="AF8" s="20">
        <f t="shared" si="9"/>
        <v>102</v>
      </c>
      <c r="AG8" s="21">
        <f t="shared" si="10"/>
        <v>31.999999999999886</v>
      </c>
      <c r="AH8" s="22">
        <f t="shared" si="11"/>
        <v>70.000000000000114</v>
      </c>
      <c r="AI8" s="17">
        <f t="shared" si="12"/>
        <v>184.45000000000505</v>
      </c>
      <c r="AJ8" s="18">
        <f t="shared" si="13"/>
        <v>254.45000000000516</v>
      </c>
    </row>
    <row r="9" spans="1:36" ht="26.25" customHeight="1">
      <c r="A9" s="4" t="s">
        <v>38</v>
      </c>
      <c r="B9" s="4">
        <v>137.66999999999999</v>
      </c>
      <c r="C9" s="4">
        <v>61.4</v>
      </c>
      <c r="D9" s="4">
        <v>0.76500000000000001</v>
      </c>
      <c r="E9" s="4">
        <v>0.74199999999999999</v>
      </c>
      <c r="F9" s="4">
        <v>40</v>
      </c>
      <c r="G9" s="5">
        <f t="shared" si="0"/>
        <v>26.800000000000068</v>
      </c>
      <c r="H9" s="6">
        <f t="shared" si="1"/>
        <v>203.2000000000005</v>
      </c>
      <c r="I9" s="4">
        <v>76342.2</v>
      </c>
      <c r="J9" s="4">
        <v>0.94599999999999995</v>
      </c>
      <c r="K9" s="7">
        <f t="shared" si="2"/>
        <v>4.5</v>
      </c>
      <c r="L9" s="4">
        <v>75</v>
      </c>
      <c r="M9" s="8">
        <f t="shared" si="3"/>
        <v>0</v>
      </c>
      <c r="N9" s="4">
        <v>506</v>
      </c>
      <c r="O9" s="4">
        <v>0</v>
      </c>
      <c r="P9" s="4">
        <v>127512.8</v>
      </c>
      <c r="Q9" s="4">
        <v>0.91800000000000004</v>
      </c>
      <c r="R9" s="9">
        <f t="shared" si="4"/>
        <v>0</v>
      </c>
      <c r="S9" s="10">
        <f t="shared" si="5"/>
        <v>207.7000000000005</v>
      </c>
      <c r="T9" s="4">
        <v>41</v>
      </c>
      <c r="U9" s="4">
        <v>31</v>
      </c>
      <c r="V9" s="4">
        <v>28</v>
      </c>
      <c r="W9" s="11">
        <f t="shared" si="6"/>
        <v>100</v>
      </c>
      <c r="X9" s="4">
        <v>65.42</v>
      </c>
      <c r="Y9" s="8">
        <f t="shared" si="7"/>
        <v>0</v>
      </c>
      <c r="Z9" s="12">
        <v>3010.8</v>
      </c>
      <c r="AA9" s="4">
        <v>0</v>
      </c>
      <c r="AB9" s="4">
        <v>18053</v>
      </c>
      <c r="AC9" s="8">
        <f t="shared" si="8"/>
        <v>0</v>
      </c>
      <c r="AD9" s="4">
        <v>1183.4000000000001</v>
      </c>
      <c r="AE9" s="13">
        <v>0</v>
      </c>
      <c r="AF9" s="20">
        <f t="shared" si="9"/>
        <v>100</v>
      </c>
      <c r="AG9" s="21">
        <f t="shared" si="10"/>
        <v>26.800000000000068</v>
      </c>
      <c r="AH9" s="22">
        <f t="shared" si="11"/>
        <v>73.199999999999932</v>
      </c>
      <c r="AI9" s="17">
        <f t="shared" si="12"/>
        <v>207.7000000000005</v>
      </c>
      <c r="AJ9" s="18">
        <f t="shared" si="13"/>
        <v>280.90000000000043</v>
      </c>
    </row>
    <row r="10" spans="1:36" ht="26.25" customHeight="1">
      <c r="A10" s="4" t="s">
        <v>39</v>
      </c>
      <c r="B10" s="4">
        <v>142.75</v>
      </c>
      <c r="C10" s="4">
        <v>62.07</v>
      </c>
      <c r="D10" s="19">
        <v>0.77</v>
      </c>
      <c r="E10" s="4">
        <v>0.71799999999999997</v>
      </c>
      <c r="F10" s="4">
        <v>40</v>
      </c>
      <c r="G10" s="5">
        <f t="shared" si="0"/>
        <v>30.800000000000125</v>
      </c>
      <c r="H10" s="6">
        <f t="shared" si="1"/>
        <v>222.79999999999973</v>
      </c>
      <c r="I10" s="4">
        <v>76346.7</v>
      </c>
      <c r="J10" s="4">
        <v>0.94599999999999995</v>
      </c>
      <c r="K10" s="7">
        <f t="shared" si="2"/>
        <v>4.3800000000046566</v>
      </c>
      <c r="L10" s="4">
        <v>75</v>
      </c>
      <c r="M10" s="8">
        <f t="shared" si="3"/>
        <v>0</v>
      </c>
      <c r="N10" s="4">
        <v>506</v>
      </c>
      <c r="O10" s="4">
        <v>0</v>
      </c>
      <c r="P10" s="4">
        <v>127512.8</v>
      </c>
      <c r="Q10" s="4">
        <v>0.91800000000000004</v>
      </c>
      <c r="R10" s="9">
        <f t="shared" si="4"/>
        <v>0</v>
      </c>
      <c r="S10" s="10">
        <f t="shared" si="5"/>
        <v>227.18000000000438</v>
      </c>
      <c r="T10" s="4">
        <v>35</v>
      </c>
      <c r="U10" s="4">
        <v>32</v>
      </c>
      <c r="V10" s="4">
        <v>28</v>
      </c>
      <c r="W10" s="11">
        <f t="shared" si="6"/>
        <v>95</v>
      </c>
      <c r="X10" s="4">
        <v>65.42</v>
      </c>
      <c r="Y10" s="8">
        <f t="shared" si="7"/>
        <v>1.0000000000005116E-2</v>
      </c>
      <c r="Z10" s="4">
        <v>3010.81</v>
      </c>
      <c r="AA10" s="4">
        <v>0</v>
      </c>
      <c r="AB10" s="4">
        <v>18053</v>
      </c>
      <c r="AC10" s="8">
        <f t="shared" si="8"/>
        <v>1</v>
      </c>
      <c r="AD10" s="4">
        <v>1183.4000000000001</v>
      </c>
      <c r="AE10" s="13">
        <v>0</v>
      </c>
      <c r="AF10" s="20">
        <f t="shared" si="9"/>
        <v>95</v>
      </c>
      <c r="AG10" s="21">
        <f t="shared" si="10"/>
        <v>30.800000000000125</v>
      </c>
      <c r="AH10" s="22">
        <f t="shared" si="11"/>
        <v>64.199999999999875</v>
      </c>
      <c r="AI10" s="17">
        <f t="shared" si="12"/>
        <v>228.19000000000437</v>
      </c>
      <c r="AJ10" s="18">
        <f t="shared" si="13"/>
        <v>292.39000000000425</v>
      </c>
    </row>
    <row r="11" spans="1:36" ht="26.25" customHeight="1">
      <c r="A11" s="4" t="s">
        <v>40</v>
      </c>
      <c r="B11" s="4">
        <v>148.32</v>
      </c>
      <c r="C11" s="4">
        <v>62.84</v>
      </c>
      <c r="D11" s="4">
        <v>0.754</v>
      </c>
      <c r="E11" s="4">
        <v>0.67700000000000005</v>
      </c>
      <c r="F11" s="4">
        <v>40</v>
      </c>
      <c r="G11" s="5">
        <f t="shared" si="0"/>
        <v>11.599999999999966</v>
      </c>
      <c r="H11" s="6">
        <f t="shared" si="1"/>
        <v>240.80000000000041</v>
      </c>
      <c r="I11" s="4">
        <v>76351.08</v>
      </c>
      <c r="J11" s="4">
        <v>0.94599999999999995</v>
      </c>
      <c r="K11" s="7">
        <f t="shared" si="2"/>
        <v>1.0200000000040745</v>
      </c>
      <c r="L11" s="4">
        <v>75</v>
      </c>
      <c r="M11" s="8">
        <f t="shared" si="3"/>
        <v>0</v>
      </c>
      <c r="N11" s="4">
        <v>506</v>
      </c>
      <c r="O11" s="4">
        <v>0</v>
      </c>
      <c r="P11" s="4">
        <v>127512.8</v>
      </c>
      <c r="Q11" s="4">
        <v>0.91800000000000004</v>
      </c>
      <c r="R11" s="9">
        <f t="shared" si="4"/>
        <v>0</v>
      </c>
      <c r="S11" s="10">
        <f t="shared" si="5"/>
        <v>241.82000000000448</v>
      </c>
      <c r="T11" s="4">
        <v>40</v>
      </c>
      <c r="U11" s="4">
        <v>34</v>
      </c>
      <c r="V11" s="4">
        <v>28</v>
      </c>
      <c r="W11" s="11">
        <f t="shared" si="6"/>
        <v>102</v>
      </c>
      <c r="X11" s="4">
        <v>65.430000000000007</v>
      </c>
      <c r="Y11" s="8">
        <f t="shared" si="7"/>
        <v>0</v>
      </c>
      <c r="Z11" s="4">
        <v>3010.81</v>
      </c>
      <c r="AA11" s="4">
        <v>0</v>
      </c>
      <c r="AB11" s="4">
        <v>18054</v>
      </c>
      <c r="AC11" s="8">
        <f t="shared" si="8"/>
        <v>1</v>
      </c>
      <c r="AD11" s="4">
        <v>1184.4000000000001</v>
      </c>
      <c r="AE11" s="13">
        <v>0</v>
      </c>
      <c r="AF11" s="20">
        <f t="shared" si="9"/>
        <v>102</v>
      </c>
      <c r="AG11" s="21">
        <f t="shared" si="10"/>
        <v>11.599999999999966</v>
      </c>
      <c r="AH11" s="22">
        <f t="shared" si="11"/>
        <v>90.400000000000034</v>
      </c>
      <c r="AI11" s="17">
        <f t="shared" si="12"/>
        <v>242.82000000000448</v>
      </c>
      <c r="AJ11" s="18">
        <f t="shared" si="13"/>
        <v>333.22000000000452</v>
      </c>
    </row>
    <row r="12" spans="1:36" ht="26.25" customHeight="1">
      <c r="A12" s="4" t="s">
        <v>41</v>
      </c>
      <c r="B12" s="4">
        <v>154.34</v>
      </c>
      <c r="C12" s="4">
        <v>63.13</v>
      </c>
      <c r="D12" s="4">
        <v>0.64400000000000002</v>
      </c>
      <c r="E12" s="4">
        <v>0.75800000000000001</v>
      </c>
      <c r="F12" s="4">
        <v>40</v>
      </c>
      <c r="G12" s="5">
        <f t="shared" si="0"/>
        <v>37.999999999999829</v>
      </c>
      <c r="H12" s="6">
        <f t="shared" si="1"/>
        <v>170</v>
      </c>
      <c r="I12" s="4">
        <v>76352.100000000006</v>
      </c>
      <c r="J12" s="4">
        <v>0.94599999999999995</v>
      </c>
      <c r="K12" s="7">
        <f t="shared" si="2"/>
        <v>2.2999999999883585</v>
      </c>
      <c r="L12" s="4">
        <v>75</v>
      </c>
      <c r="M12" s="8">
        <f t="shared" si="3"/>
        <v>0</v>
      </c>
      <c r="N12" s="4">
        <v>506</v>
      </c>
      <c r="O12" s="4">
        <v>0</v>
      </c>
      <c r="P12" s="4">
        <v>127512.8</v>
      </c>
      <c r="Q12" s="4">
        <v>0.91800000000000004</v>
      </c>
      <c r="R12" s="9">
        <f t="shared" si="4"/>
        <v>0</v>
      </c>
      <c r="S12" s="10">
        <f t="shared" si="5"/>
        <v>172.29999999998836</v>
      </c>
      <c r="T12" s="4">
        <v>41</v>
      </c>
      <c r="U12" s="4">
        <v>31</v>
      </c>
      <c r="V12" s="4">
        <v>28</v>
      </c>
      <c r="W12" s="11">
        <f t="shared" si="6"/>
        <v>100</v>
      </c>
      <c r="X12" s="4">
        <v>65.430000000000007</v>
      </c>
      <c r="Y12" s="8">
        <f t="shared" si="7"/>
        <v>0</v>
      </c>
      <c r="Z12" s="4">
        <v>3010.81</v>
      </c>
      <c r="AA12" s="4">
        <v>0</v>
      </c>
      <c r="AB12" s="4">
        <v>18055</v>
      </c>
      <c r="AC12" s="8">
        <f t="shared" si="8"/>
        <v>0</v>
      </c>
      <c r="AD12" s="4">
        <v>1164.4000000000001</v>
      </c>
      <c r="AE12" s="13">
        <v>0</v>
      </c>
      <c r="AF12" s="20">
        <f t="shared" si="9"/>
        <v>100</v>
      </c>
      <c r="AG12" s="21">
        <f t="shared" si="10"/>
        <v>37.999999999999829</v>
      </c>
      <c r="AH12" s="22">
        <f t="shared" si="11"/>
        <v>62.000000000000171</v>
      </c>
      <c r="AI12" s="17">
        <f t="shared" si="12"/>
        <v>172.29999999998836</v>
      </c>
      <c r="AJ12" s="18">
        <f t="shared" si="13"/>
        <v>234.29999999998853</v>
      </c>
    </row>
    <row r="13" spans="1:36" ht="26.25" customHeight="1">
      <c r="A13" s="4" t="s">
        <v>42</v>
      </c>
      <c r="B13" s="4">
        <v>158.59</v>
      </c>
      <c r="C13" s="4">
        <v>64.08</v>
      </c>
      <c r="D13" s="4">
        <v>0.749</v>
      </c>
      <c r="E13" s="19">
        <v>0.64</v>
      </c>
      <c r="F13" s="4">
        <v>40</v>
      </c>
      <c r="G13" s="5">
        <f t="shared" si="0"/>
        <v>35.600000000000023</v>
      </c>
      <c r="H13" s="6">
        <f t="shared" si="1"/>
        <v>463.99999999999977</v>
      </c>
      <c r="I13" s="4">
        <v>76354.399999999994</v>
      </c>
      <c r="J13" s="4">
        <v>0.746</v>
      </c>
      <c r="K13" s="7">
        <f t="shared" si="2"/>
        <v>5.2200000000011642</v>
      </c>
      <c r="L13" s="4">
        <v>75</v>
      </c>
      <c r="M13" s="8">
        <f t="shared" si="3"/>
        <v>0</v>
      </c>
      <c r="N13" s="4">
        <v>506</v>
      </c>
      <c r="O13" s="4">
        <v>0</v>
      </c>
      <c r="P13" s="4">
        <v>127512.8</v>
      </c>
      <c r="Q13" s="4">
        <v>0.91800000000000004</v>
      </c>
      <c r="R13" s="9">
        <f t="shared" si="4"/>
        <v>0</v>
      </c>
      <c r="S13" s="10">
        <f t="shared" si="5"/>
        <v>469.22000000000094</v>
      </c>
      <c r="T13" s="4">
        <v>44</v>
      </c>
      <c r="U13" s="4">
        <v>54</v>
      </c>
      <c r="V13" s="4">
        <v>55</v>
      </c>
      <c r="W13" s="11">
        <f t="shared" si="6"/>
        <v>153</v>
      </c>
      <c r="X13" s="4">
        <v>65.430000000000007</v>
      </c>
      <c r="Y13" s="8">
        <f t="shared" si="7"/>
        <v>0</v>
      </c>
      <c r="Z13" s="4">
        <v>3010.81</v>
      </c>
      <c r="AA13" s="4">
        <v>0</v>
      </c>
      <c r="AB13" s="4">
        <v>18055</v>
      </c>
      <c r="AC13" s="8">
        <f t="shared" si="8"/>
        <v>0</v>
      </c>
      <c r="AD13" s="4">
        <v>1184.4000000000001</v>
      </c>
      <c r="AE13" s="13">
        <v>0</v>
      </c>
      <c r="AF13" s="20">
        <f t="shared" si="9"/>
        <v>153</v>
      </c>
      <c r="AG13" s="21">
        <f t="shared" si="10"/>
        <v>35.600000000000023</v>
      </c>
      <c r="AH13" s="22">
        <f t="shared" si="11"/>
        <v>117.39999999999998</v>
      </c>
      <c r="AI13" s="17">
        <f t="shared" si="12"/>
        <v>469.22000000000094</v>
      </c>
      <c r="AJ13" s="18">
        <f t="shared" si="13"/>
        <v>586.62000000000091</v>
      </c>
    </row>
    <row r="14" spans="1:36" ht="26.25" customHeight="1">
      <c r="A14" s="4" t="s">
        <v>43</v>
      </c>
      <c r="B14" s="4">
        <v>170.19</v>
      </c>
      <c r="C14" s="4">
        <v>64.97</v>
      </c>
      <c r="D14" s="4">
        <v>0.747</v>
      </c>
      <c r="E14" s="4">
        <v>0.61299999999999999</v>
      </c>
      <c r="F14" s="4">
        <v>40</v>
      </c>
      <c r="G14" s="5">
        <f t="shared" si="0"/>
        <v>93.199999999999932</v>
      </c>
      <c r="H14" s="6">
        <f t="shared" si="1"/>
        <v>127.59999999999991</v>
      </c>
      <c r="I14" s="4">
        <v>76359.62</v>
      </c>
      <c r="J14" s="4">
        <v>0.94599999999999995</v>
      </c>
      <c r="K14" s="7">
        <f t="shared" si="2"/>
        <v>3.9000000000087311</v>
      </c>
      <c r="L14" s="4">
        <v>75</v>
      </c>
      <c r="M14" s="8">
        <f t="shared" si="3"/>
        <v>0</v>
      </c>
      <c r="N14" s="4">
        <v>506</v>
      </c>
      <c r="O14" s="4">
        <v>0</v>
      </c>
      <c r="P14" s="4">
        <v>127512.8</v>
      </c>
      <c r="Q14" s="4">
        <v>0.91800000000000004</v>
      </c>
      <c r="R14" s="9">
        <f t="shared" si="4"/>
        <v>0</v>
      </c>
      <c r="S14" s="10">
        <f t="shared" si="5"/>
        <v>131.50000000000864</v>
      </c>
      <c r="T14" s="23">
        <v>66</v>
      </c>
      <c r="U14" s="23">
        <v>79</v>
      </c>
      <c r="V14" s="23">
        <v>70</v>
      </c>
      <c r="W14" s="11">
        <f t="shared" si="6"/>
        <v>215</v>
      </c>
      <c r="X14" s="23">
        <v>65.430000000000007</v>
      </c>
      <c r="Y14" s="8">
        <f t="shared" si="7"/>
        <v>0</v>
      </c>
      <c r="Z14" s="4">
        <v>3010.92</v>
      </c>
      <c r="AA14" s="4">
        <v>0</v>
      </c>
      <c r="AB14" s="4">
        <v>18055</v>
      </c>
      <c r="AC14" s="8">
        <f t="shared" si="8"/>
        <v>0</v>
      </c>
      <c r="AD14" s="4">
        <v>1184.4000000000001</v>
      </c>
      <c r="AE14" s="13">
        <v>0</v>
      </c>
      <c r="AF14" s="20">
        <f t="shared" si="9"/>
        <v>215</v>
      </c>
      <c r="AG14" s="21">
        <f t="shared" si="10"/>
        <v>93.199999999999932</v>
      </c>
      <c r="AH14" s="22">
        <f t="shared" si="11"/>
        <v>121.80000000000007</v>
      </c>
      <c r="AI14" s="17">
        <f t="shared" si="12"/>
        <v>131.50000000000864</v>
      </c>
      <c r="AJ14" s="18">
        <f t="shared" si="13"/>
        <v>253.30000000000871</v>
      </c>
    </row>
    <row r="15" spans="1:36" ht="26.25" customHeight="1">
      <c r="A15" s="4" t="s">
        <v>44</v>
      </c>
      <c r="B15" s="4">
        <v>173.38</v>
      </c>
      <c r="C15" s="23">
        <v>67.3</v>
      </c>
      <c r="D15" s="4">
        <v>0.748</v>
      </c>
      <c r="E15" s="4">
        <v>0.61899999999999999</v>
      </c>
      <c r="F15" s="4">
        <v>40</v>
      </c>
      <c r="G15" s="5">
        <f t="shared" si="0"/>
        <v>86.800000000000068</v>
      </c>
      <c r="H15" s="6">
        <f t="shared" si="1"/>
        <v>150.80000000000041</v>
      </c>
      <c r="I15" s="4">
        <v>76363.520000000004</v>
      </c>
      <c r="J15" s="4">
        <v>0.98899999999999999</v>
      </c>
      <c r="K15" s="7">
        <f t="shared" si="2"/>
        <v>3.5599999999976717</v>
      </c>
      <c r="L15" s="4">
        <v>75</v>
      </c>
      <c r="M15" s="8">
        <f t="shared" si="3"/>
        <v>0</v>
      </c>
      <c r="N15" s="4">
        <v>506</v>
      </c>
      <c r="O15" s="4">
        <v>0</v>
      </c>
      <c r="P15" s="4">
        <v>127512.8</v>
      </c>
      <c r="Q15" s="4">
        <v>0.91800000000000004</v>
      </c>
      <c r="R15" s="9">
        <f t="shared" si="4"/>
        <v>0</v>
      </c>
      <c r="S15" s="10">
        <f t="shared" si="5"/>
        <v>154.35999999999808</v>
      </c>
      <c r="T15" s="23">
        <v>88</v>
      </c>
      <c r="U15" s="23">
        <v>71</v>
      </c>
      <c r="V15" s="23">
        <v>80</v>
      </c>
      <c r="W15" s="11">
        <f t="shared" si="6"/>
        <v>239</v>
      </c>
      <c r="X15" s="4">
        <v>65.430000000000007</v>
      </c>
      <c r="Y15" s="8">
        <f t="shared" si="7"/>
        <v>0</v>
      </c>
      <c r="Z15" s="4">
        <v>3010.92</v>
      </c>
      <c r="AA15" s="4">
        <v>0</v>
      </c>
      <c r="AB15" s="4">
        <v>18055</v>
      </c>
      <c r="AC15" s="8">
        <f t="shared" si="8"/>
        <v>0</v>
      </c>
      <c r="AD15" s="4">
        <v>1184.4000000000001</v>
      </c>
      <c r="AE15" s="4">
        <v>0</v>
      </c>
      <c r="AF15" s="20">
        <f t="shared" si="9"/>
        <v>239</v>
      </c>
      <c r="AG15" s="21">
        <f t="shared" si="10"/>
        <v>86.800000000000068</v>
      </c>
      <c r="AH15" s="22">
        <f t="shared" si="11"/>
        <v>152.19999999999993</v>
      </c>
      <c r="AI15" s="17">
        <f t="shared" si="12"/>
        <v>154.35999999999808</v>
      </c>
      <c r="AJ15" s="18">
        <f t="shared" si="13"/>
        <v>306.55999999999801</v>
      </c>
    </row>
    <row r="16" spans="1:36" ht="26.25" customHeight="1">
      <c r="A16" s="4" t="s">
        <v>45</v>
      </c>
      <c r="B16" s="4">
        <v>177.15</v>
      </c>
      <c r="C16" s="23">
        <v>69.47</v>
      </c>
      <c r="D16" s="4">
        <v>0.747</v>
      </c>
      <c r="E16" s="4">
        <v>0.63400000000000001</v>
      </c>
      <c r="F16" s="4">
        <v>40</v>
      </c>
      <c r="G16" s="5">
        <f t="shared" si="0"/>
        <v>15.199999999999818</v>
      </c>
      <c r="H16" s="6">
        <f t="shared" si="1"/>
        <v>211.99999999999932</v>
      </c>
      <c r="I16" s="4">
        <v>76367.08</v>
      </c>
      <c r="J16" s="4">
        <v>0.98899999999999999</v>
      </c>
      <c r="K16" s="7">
        <f t="shared" si="2"/>
        <v>2.6199999999953434</v>
      </c>
      <c r="L16" s="4">
        <v>75</v>
      </c>
      <c r="M16" s="8">
        <f t="shared" si="3"/>
        <v>0</v>
      </c>
      <c r="N16" s="4">
        <v>506</v>
      </c>
      <c r="O16" s="4">
        <v>0</v>
      </c>
      <c r="P16" s="4">
        <v>127512.8</v>
      </c>
      <c r="Q16" s="4">
        <v>0.91800000000000004</v>
      </c>
      <c r="R16" s="9">
        <f t="shared" si="4"/>
        <v>0</v>
      </c>
      <c r="S16" s="10">
        <f t="shared" si="5"/>
        <v>214.61999999999466</v>
      </c>
      <c r="T16" s="23">
        <v>24</v>
      </c>
      <c r="U16" s="23">
        <v>35</v>
      </c>
      <c r="V16" s="23">
        <v>42</v>
      </c>
      <c r="W16" s="11">
        <f t="shared" si="6"/>
        <v>101</v>
      </c>
      <c r="X16" s="4">
        <v>65.430000000000007</v>
      </c>
      <c r="Y16" s="8">
        <f t="shared" si="7"/>
        <v>0</v>
      </c>
      <c r="Z16" s="4">
        <v>3010.92</v>
      </c>
      <c r="AA16" s="4">
        <v>0</v>
      </c>
      <c r="AB16" s="4">
        <v>18055</v>
      </c>
      <c r="AC16" s="8">
        <f t="shared" si="8"/>
        <v>0</v>
      </c>
      <c r="AD16" s="4">
        <v>1184.4000000000001</v>
      </c>
      <c r="AE16" s="4">
        <v>0</v>
      </c>
      <c r="AF16" s="20">
        <f t="shared" si="9"/>
        <v>101</v>
      </c>
      <c r="AG16" s="21">
        <f t="shared" si="10"/>
        <v>15.199999999999818</v>
      </c>
      <c r="AH16" s="22">
        <f t="shared" si="11"/>
        <v>85.800000000000182</v>
      </c>
      <c r="AI16" s="17">
        <f t="shared" si="12"/>
        <v>214.61999999999466</v>
      </c>
      <c r="AJ16" s="18">
        <f t="shared" si="13"/>
        <v>300.41999999999484</v>
      </c>
    </row>
    <row r="17" spans="1:36" ht="26.25" customHeight="1">
      <c r="A17" s="4" t="s">
        <v>46</v>
      </c>
      <c r="B17" s="23">
        <v>182.45</v>
      </c>
      <c r="C17" s="23">
        <v>69.849999999999994</v>
      </c>
      <c r="D17" s="23">
        <v>0.749</v>
      </c>
      <c r="E17" s="23">
        <v>0.627</v>
      </c>
      <c r="F17" s="23">
        <v>40</v>
      </c>
      <c r="G17" s="5">
        <f t="shared" si="0"/>
        <v>54.399999999999977</v>
      </c>
      <c r="H17" s="6">
        <f t="shared" si="1"/>
        <v>122.00000000000045</v>
      </c>
      <c r="I17" s="23">
        <v>76369.7</v>
      </c>
      <c r="J17" s="23">
        <v>0.98899999999999999</v>
      </c>
      <c r="K17" s="7">
        <f t="shared" si="2"/>
        <v>2.5800000000017462</v>
      </c>
      <c r="L17" s="23">
        <v>75</v>
      </c>
      <c r="M17" s="8">
        <f t="shared" si="3"/>
        <v>0</v>
      </c>
      <c r="N17" s="23">
        <v>506</v>
      </c>
      <c r="O17" s="23">
        <v>0</v>
      </c>
      <c r="P17" s="4">
        <v>127512.8</v>
      </c>
      <c r="Q17" s="4">
        <v>0.91800000000000004</v>
      </c>
      <c r="R17" s="9">
        <f t="shared" si="4"/>
        <v>2.9999999998835847E-2</v>
      </c>
      <c r="S17" s="10">
        <f t="shared" si="5"/>
        <v>124.61000000000104</v>
      </c>
      <c r="T17" s="23">
        <v>50</v>
      </c>
      <c r="U17" s="23">
        <v>47</v>
      </c>
      <c r="V17" s="23">
        <v>49</v>
      </c>
      <c r="W17" s="11">
        <f t="shared" si="6"/>
        <v>146</v>
      </c>
      <c r="X17" s="4">
        <v>65.430000000000007</v>
      </c>
      <c r="Y17" s="8">
        <f t="shared" si="7"/>
        <v>0</v>
      </c>
      <c r="Z17" s="23">
        <v>3010.92</v>
      </c>
      <c r="AA17" s="23">
        <v>0</v>
      </c>
      <c r="AB17" s="23">
        <v>18055</v>
      </c>
      <c r="AC17" s="8">
        <f t="shared" si="8"/>
        <v>0</v>
      </c>
      <c r="AD17" s="23">
        <v>1184.4000000000001</v>
      </c>
      <c r="AE17" s="24">
        <v>0</v>
      </c>
      <c r="AF17" s="20">
        <f t="shared" si="9"/>
        <v>146</v>
      </c>
      <c r="AG17" s="21">
        <f t="shared" si="10"/>
        <v>54.399999999999977</v>
      </c>
      <c r="AH17" s="22">
        <f t="shared" si="11"/>
        <v>91.600000000000023</v>
      </c>
      <c r="AI17" s="17">
        <f t="shared" si="12"/>
        <v>124.61000000000104</v>
      </c>
      <c r="AJ17" s="18">
        <f t="shared" si="13"/>
        <v>216.21000000000106</v>
      </c>
    </row>
    <row r="18" spans="1:36" ht="26.25" customHeight="1">
      <c r="A18" s="4" t="s">
        <v>47</v>
      </c>
      <c r="B18" s="23">
        <v>185.5</v>
      </c>
      <c r="C18" s="23">
        <v>71.209999999999994</v>
      </c>
      <c r="D18" s="23">
        <v>0.748</v>
      </c>
      <c r="E18" s="23">
        <v>0.628</v>
      </c>
      <c r="F18" s="23">
        <v>40</v>
      </c>
      <c r="G18" s="5">
        <f t="shared" si="0"/>
        <v>72.800000000000296</v>
      </c>
      <c r="H18" s="6">
        <f t="shared" si="1"/>
        <v>144.40000000000055</v>
      </c>
      <c r="I18" s="23">
        <v>76372.28</v>
      </c>
      <c r="J18" s="23">
        <v>0.98799999999999999</v>
      </c>
      <c r="K18" s="7">
        <f t="shared" si="2"/>
        <v>4.1199999999953434</v>
      </c>
      <c r="L18" s="23">
        <v>75</v>
      </c>
      <c r="M18" s="8">
        <f t="shared" si="3"/>
        <v>0</v>
      </c>
      <c r="N18" s="23">
        <v>506</v>
      </c>
      <c r="O18" s="23">
        <v>0</v>
      </c>
      <c r="P18" s="23">
        <v>127512.83</v>
      </c>
      <c r="Q18" s="23">
        <v>0.91800000000000004</v>
      </c>
      <c r="R18" s="9">
        <f t="shared" si="4"/>
        <v>0</v>
      </c>
      <c r="S18" s="10">
        <f t="shared" si="5"/>
        <v>148.51999999999589</v>
      </c>
      <c r="T18" s="23">
        <v>41</v>
      </c>
      <c r="U18" s="23">
        <v>45</v>
      </c>
      <c r="V18" s="23">
        <v>57</v>
      </c>
      <c r="W18" s="11">
        <f t="shared" si="6"/>
        <v>143</v>
      </c>
      <c r="X18" s="23">
        <v>65.430000000000007</v>
      </c>
      <c r="Y18" s="8">
        <f t="shared" si="7"/>
        <v>0</v>
      </c>
      <c r="Z18" s="23">
        <v>3010.92</v>
      </c>
      <c r="AA18" s="23">
        <v>0</v>
      </c>
      <c r="AB18" s="23">
        <v>18055</v>
      </c>
      <c r="AC18" s="8">
        <f t="shared" si="8"/>
        <v>7</v>
      </c>
      <c r="AD18" s="23">
        <v>1184.5999999999999</v>
      </c>
      <c r="AE18" s="24">
        <v>0</v>
      </c>
      <c r="AF18" s="20">
        <f t="shared" si="9"/>
        <v>143</v>
      </c>
      <c r="AG18" s="21">
        <f t="shared" si="10"/>
        <v>72.800000000000296</v>
      </c>
      <c r="AH18" s="22">
        <f t="shared" si="11"/>
        <v>70.199999999999704</v>
      </c>
      <c r="AI18" s="17">
        <f t="shared" si="12"/>
        <v>155.51999999999589</v>
      </c>
      <c r="AJ18" s="18">
        <f t="shared" si="13"/>
        <v>225.71999999999559</v>
      </c>
    </row>
    <row r="19" spans="1:36" ht="26.25" customHeight="1">
      <c r="A19" s="4" t="s">
        <v>48</v>
      </c>
      <c r="B19" s="23">
        <v>189.11</v>
      </c>
      <c r="C19" s="23">
        <v>73.03</v>
      </c>
      <c r="D19" s="23">
        <v>0.748</v>
      </c>
      <c r="E19" s="23">
        <v>0.64300000000000002</v>
      </c>
      <c r="F19" s="23">
        <v>40</v>
      </c>
      <c r="G19" s="5">
        <f t="shared" si="0"/>
        <v>117.59999999999991</v>
      </c>
      <c r="H19" s="6">
        <f t="shared" si="1"/>
        <v>303.599999999999</v>
      </c>
      <c r="I19" s="23">
        <v>76376.399999999994</v>
      </c>
      <c r="J19" s="23">
        <v>0.98799999999999999</v>
      </c>
      <c r="K19" s="7">
        <f t="shared" si="2"/>
        <v>6.4800000000104774</v>
      </c>
      <c r="L19" s="23">
        <v>75</v>
      </c>
      <c r="M19" s="8">
        <f t="shared" si="3"/>
        <v>0</v>
      </c>
      <c r="N19" s="23">
        <v>506</v>
      </c>
      <c r="O19" s="23">
        <v>0</v>
      </c>
      <c r="P19" s="23">
        <v>127512.83</v>
      </c>
      <c r="Q19" s="23">
        <v>0.91800000000000004</v>
      </c>
      <c r="R19" s="25">
        <f t="shared" si="4"/>
        <v>9.9999999947613105E-3</v>
      </c>
      <c r="S19" s="26">
        <f t="shared" si="5"/>
        <v>310.09000000000424</v>
      </c>
      <c r="T19" s="23">
        <v>86</v>
      </c>
      <c r="U19" s="23">
        <v>95</v>
      </c>
      <c r="V19" s="23">
        <v>85</v>
      </c>
      <c r="W19" s="11">
        <f t="shared" si="6"/>
        <v>266</v>
      </c>
      <c r="X19" s="23">
        <v>65.430000000000007</v>
      </c>
      <c r="Y19" s="8">
        <f t="shared" si="7"/>
        <v>0</v>
      </c>
      <c r="Z19" s="23">
        <v>3010.92</v>
      </c>
      <c r="AA19" s="23">
        <v>0</v>
      </c>
      <c r="AB19" s="23">
        <v>18062</v>
      </c>
      <c r="AC19" s="8">
        <f t="shared" si="8"/>
        <v>0</v>
      </c>
      <c r="AD19" s="23">
        <v>1185.5</v>
      </c>
      <c r="AE19" s="24">
        <v>0</v>
      </c>
      <c r="AF19" s="20">
        <f t="shared" si="9"/>
        <v>266</v>
      </c>
      <c r="AG19" s="21">
        <f t="shared" si="10"/>
        <v>117.59999999999991</v>
      </c>
      <c r="AH19" s="22">
        <f t="shared" si="11"/>
        <v>148.40000000000009</v>
      </c>
      <c r="AI19" s="27">
        <f t="shared" si="12"/>
        <v>310.09000000000424</v>
      </c>
      <c r="AJ19" s="28">
        <f t="shared" si="13"/>
        <v>458.49000000000433</v>
      </c>
    </row>
    <row r="20" spans="1:36" ht="26.25" customHeight="1">
      <c r="A20" s="4" t="s">
        <v>49</v>
      </c>
      <c r="B20" s="23">
        <v>196.7</v>
      </c>
      <c r="C20" s="23">
        <v>75.97</v>
      </c>
      <c r="D20" s="23">
        <v>0.75</v>
      </c>
      <c r="E20" s="23">
        <v>0.65600000000000003</v>
      </c>
      <c r="F20" s="23">
        <v>40</v>
      </c>
      <c r="G20" s="5">
        <f t="shared" si="0"/>
        <v>42.400000000000091</v>
      </c>
      <c r="H20" s="6">
        <f t="shared" si="1"/>
        <v>184.80000000000018</v>
      </c>
      <c r="I20" s="23">
        <v>76382.880000000005</v>
      </c>
      <c r="J20" s="23">
        <v>0.98799999999999999</v>
      </c>
      <c r="K20" s="7">
        <f t="shared" si="2"/>
        <v>3.5800000000017462</v>
      </c>
      <c r="L20" s="23">
        <v>75</v>
      </c>
      <c r="M20" s="8">
        <f t="shared" si="3"/>
        <v>0</v>
      </c>
      <c r="N20" s="23">
        <v>506</v>
      </c>
      <c r="O20" s="23">
        <v>0</v>
      </c>
      <c r="P20" s="23">
        <v>127512.84</v>
      </c>
      <c r="Q20" s="23">
        <v>0.91800000000000004</v>
      </c>
      <c r="R20" s="25">
        <f t="shared" si="4"/>
        <v>0</v>
      </c>
      <c r="S20" s="26">
        <f t="shared" si="5"/>
        <v>188.38000000000193</v>
      </c>
      <c r="T20" s="23">
        <v>42</v>
      </c>
      <c r="U20" s="23">
        <v>46</v>
      </c>
      <c r="V20" s="23">
        <v>48</v>
      </c>
      <c r="W20" s="11">
        <f t="shared" si="6"/>
        <v>136</v>
      </c>
      <c r="X20" s="23">
        <v>65.430000000000007</v>
      </c>
      <c r="Y20" s="8">
        <f t="shared" si="7"/>
        <v>0</v>
      </c>
      <c r="Z20" s="23">
        <v>3011.12</v>
      </c>
      <c r="AA20" s="23">
        <v>0</v>
      </c>
      <c r="AB20" s="23">
        <v>18062</v>
      </c>
      <c r="AC20" s="8">
        <f t="shared" si="8"/>
        <v>0</v>
      </c>
      <c r="AD20" s="23">
        <v>1185.2</v>
      </c>
      <c r="AE20" s="24">
        <v>0</v>
      </c>
      <c r="AF20" s="20">
        <f t="shared" si="9"/>
        <v>136</v>
      </c>
      <c r="AG20" s="21">
        <f t="shared" si="10"/>
        <v>42.400000000000091</v>
      </c>
      <c r="AH20" s="22">
        <f t="shared" si="11"/>
        <v>93.599999999999909</v>
      </c>
      <c r="AI20" s="27">
        <f t="shared" si="12"/>
        <v>188.38000000000193</v>
      </c>
      <c r="AJ20" s="28">
        <f t="shared" si="13"/>
        <v>281.98000000000184</v>
      </c>
    </row>
    <row r="21" spans="1:36" ht="26.25" customHeight="1">
      <c r="A21" s="4" t="s">
        <v>50</v>
      </c>
      <c r="B21" s="23">
        <v>201.32</v>
      </c>
      <c r="C21" s="23">
        <v>77.03</v>
      </c>
      <c r="D21" s="23">
        <v>0.752</v>
      </c>
      <c r="E21" s="23">
        <v>0.66</v>
      </c>
      <c r="F21" s="23">
        <v>40</v>
      </c>
      <c r="G21" s="5">
        <f t="shared" si="0"/>
        <v>80.799999999999841</v>
      </c>
      <c r="H21" s="6">
        <f t="shared" si="1"/>
        <v>183.99999999999977</v>
      </c>
      <c r="I21" s="23">
        <v>76386.460000000006</v>
      </c>
      <c r="J21" s="23">
        <v>0.98799999999999999</v>
      </c>
      <c r="K21" s="7">
        <f t="shared" si="2"/>
        <v>4.0399999999935972</v>
      </c>
      <c r="L21" s="23">
        <v>75</v>
      </c>
      <c r="M21" s="8">
        <f t="shared" si="3"/>
        <v>0</v>
      </c>
      <c r="N21" s="23">
        <v>506</v>
      </c>
      <c r="O21" s="23">
        <v>0</v>
      </c>
      <c r="P21" s="23">
        <v>127512.84</v>
      </c>
      <c r="Q21" s="23">
        <v>0.91800000000000004</v>
      </c>
      <c r="R21" s="25">
        <f t="shared" si="4"/>
        <v>0</v>
      </c>
      <c r="S21" s="26">
        <f t="shared" si="5"/>
        <v>188.03999999999337</v>
      </c>
      <c r="T21" s="23">
        <v>62</v>
      </c>
      <c r="U21" s="23">
        <v>66</v>
      </c>
      <c r="V21" s="23">
        <v>84</v>
      </c>
      <c r="W21" s="11">
        <f t="shared" si="6"/>
        <v>212</v>
      </c>
      <c r="X21" s="23">
        <v>65.430000000000007</v>
      </c>
      <c r="Y21" s="8">
        <f t="shared" si="7"/>
        <v>0</v>
      </c>
      <c r="Z21" s="23">
        <v>3011.13</v>
      </c>
      <c r="AA21" s="23">
        <v>0</v>
      </c>
      <c r="AB21" s="23">
        <v>18062</v>
      </c>
      <c r="AC21" s="8">
        <f t="shared" si="8"/>
        <v>4</v>
      </c>
      <c r="AD21" s="23">
        <v>1185.7</v>
      </c>
      <c r="AE21" s="24">
        <v>0</v>
      </c>
      <c r="AF21" s="20">
        <f t="shared" si="9"/>
        <v>212</v>
      </c>
      <c r="AG21" s="21">
        <f t="shared" si="10"/>
        <v>80.799999999999841</v>
      </c>
      <c r="AH21" s="22">
        <f t="shared" si="11"/>
        <v>131.20000000000016</v>
      </c>
      <c r="AI21" s="27">
        <f t="shared" si="12"/>
        <v>192.03999999999337</v>
      </c>
      <c r="AJ21" s="28">
        <f t="shared" si="13"/>
        <v>323.23999999999353</v>
      </c>
    </row>
    <row r="22" spans="1:36" ht="26.25" customHeight="1">
      <c r="A22" s="4" t="s">
        <v>51</v>
      </c>
      <c r="B22" s="23">
        <v>205.92</v>
      </c>
      <c r="C22" s="23">
        <v>79.05</v>
      </c>
      <c r="D22" s="23">
        <v>0.755</v>
      </c>
      <c r="E22" s="23">
        <v>0.66400000000000003</v>
      </c>
      <c r="F22" s="23">
        <v>40</v>
      </c>
      <c r="G22" s="5">
        <f t="shared" si="0"/>
        <v>83.199999999999932</v>
      </c>
      <c r="H22" s="6">
        <f t="shared" si="1"/>
        <v>158.79999999999995</v>
      </c>
      <c r="I22" s="23">
        <v>76390.5</v>
      </c>
      <c r="J22" s="23">
        <v>0.98699999999999999</v>
      </c>
      <c r="K22" s="7">
        <f t="shared" si="2"/>
        <v>5.8999999999941792</v>
      </c>
      <c r="L22" s="23">
        <v>75</v>
      </c>
      <c r="M22" s="8">
        <f t="shared" si="3"/>
        <v>0</v>
      </c>
      <c r="N22" s="23">
        <v>506</v>
      </c>
      <c r="O22" s="23">
        <v>0</v>
      </c>
      <c r="P22" s="23">
        <v>127512.84</v>
      </c>
      <c r="Q22" s="23">
        <v>0.91800000000000004</v>
      </c>
      <c r="R22" s="25">
        <f t="shared" si="4"/>
        <v>0</v>
      </c>
      <c r="S22" s="26">
        <f t="shared" si="5"/>
        <v>164.69999999999413</v>
      </c>
      <c r="T22" s="23">
        <v>67</v>
      </c>
      <c r="U22" s="23">
        <v>81</v>
      </c>
      <c r="V22" s="23">
        <v>82</v>
      </c>
      <c r="W22" s="11">
        <f t="shared" si="6"/>
        <v>230</v>
      </c>
      <c r="X22" s="23">
        <v>65.430000000000007</v>
      </c>
      <c r="Y22" s="8">
        <f t="shared" si="7"/>
        <v>0</v>
      </c>
      <c r="Z22" s="23">
        <v>3011.19</v>
      </c>
      <c r="AA22" s="23">
        <v>0</v>
      </c>
      <c r="AB22" s="23">
        <v>18066</v>
      </c>
      <c r="AC22" s="8">
        <f t="shared" si="8"/>
        <v>0</v>
      </c>
      <c r="AD22" s="23">
        <v>1186.0999999999999</v>
      </c>
      <c r="AE22" s="24">
        <v>50</v>
      </c>
      <c r="AF22" s="20">
        <f t="shared" si="9"/>
        <v>230</v>
      </c>
      <c r="AG22" s="21">
        <f t="shared" si="10"/>
        <v>83.199999999999932</v>
      </c>
      <c r="AH22" s="22">
        <f t="shared" si="11"/>
        <v>146.80000000000007</v>
      </c>
      <c r="AI22" s="27">
        <f t="shared" si="12"/>
        <v>164.69999999999413</v>
      </c>
      <c r="AJ22" s="28">
        <f t="shared" si="13"/>
        <v>311.4999999999942</v>
      </c>
    </row>
    <row r="23" spans="1:36" ht="26.25" customHeight="1">
      <c r="A23" s="4" t="s">
        <v>52</v>
      </c>
      <c r="B23" s="23">
        <v>209.89</v>
      </c>
      <c r="C23" s="23">
        <v>81.13</v>
      </c>
      <c r="D23" s="23">
        <v>0.75700000000000001</v>
      </c>
      <c r="E23" s="23">
        <v>0.67200000000000004</v>
      </c>
      <c r="F23" s="23">
        <v>40</v>
      </c>
      <c r="G23" s="5">
        <f t="shared" si="0"/>
        <v>68.000000000000114</v>
      </c>
      <c r="H23" s="6">
        <f t="shared" si="1"/>
        <v>151.60000000000082</v>
      </c>
      <c r="I23" s="23">
        <v>76396.399999999994</v>
      </c>
      <c r="J23" s="23">
        <v>0.98799999999999999</v>
      </c>
      <c r="K23" s="7">
        <f t="shared" si="2"/>
        <v>2.3700000000098953</v>
      </c>
      <c r="L23" s="23">
        <v>75</v>
      </c>
      <c r="M23" s="8">
        <f t="shared" si="3"/>
        <v>0</v>
      </c>
      <c r="N23" s="23">
        <v>506</v>
      </c>
      <c r="O23" s="23">
        <v>0</v>
      </c>
      <c r="P23" s="23">
        <v>127512.84</v>
      </c>
      <c r="Q23" s="23">
        <v>0.91800000000000004</v>
      </c>
      <c r="R23" s="25">
        <f t="shared" si="4"/>
        <v>0</v>
      </c>
      <c r="S23" s="26">
        <f t="shared" si="5"/>
        <v>153.97000000001071</v>
      </c>
      <c r="T23" s="23">
        <v>78</v>
      </c>
      <c r="U23" s="23">
        <v>85</v>
      </c>
      <c r="V23" s="23">
        <v>74</v>
      </c>
      <c r="W23" s="11">
        <f t="shared" si="6"/>
        <v>237</v>
      </c>
      <c r="X23" s="23">
        <v>65.430000000000007</v>
      </c>
      <c r="Y23" s="8">
        <f t="shared" si="7"/>
        <v>0</v>
      </c>
      <c r="Z23" s="23">
        <v>3011.19</v>
      </c>
      <c r="AA23" s="23">
        <v>0</v>
      </c>
      <c r="AB23" s="23">
        <v>18066</v>
      </c>
      <c r="AC23" s="8">
        <f t="shared" si="8"/>
        <v>0</v>
      </c>
      <c r="AD23" s="23">
        <v>1186.0999999999999</v>
      </c>
      <c r="AE23" s="24">
        <v>0</v>
      </c>
      <c r="AF23" s="20">
        <f t="shared" si="9"/>
        <v>237</v>
      </c>
      <c r="AG23" s="21">
        <f t="shared" si="10"/>
        <v>68.000000000000114</v>
      </c>
      <c r="AH23" s="22">
        <f t="shared" si="11"/>
        <v>168.99999999999989</v>
      </c>
      <c r="AI23" s="27">
        <f t="shared" si="12"/>
        <v>153.97000000001071</v>
      </c>
      <c r="AJ23" s="28">
        <f t="shared" si="13"/>
        <v>322.9700000000106</v>
      </c>
    </row>
    <row r="24" spans="1:36" ht="26.25" customHeight="1">
      <c r="A24" s="4" t="s">
        <v>53</v>
      </c>
      <c r="B24" s="23">
        <v>213.68</v>
      </c>
      <c r="C24" s="23">
        <v>82.83</v>
      </c>
      <c r="D24" s="23">
        <v>0.75700000000000001</v>
      </c>
      <c r="E24" s="23">
        <v>0.66600000000000004</v>
      </c>
      <c r="F24" s="23">
        <v>40</v>
      </c>
      <c r="G24" s="5">
        <f t="shared" si="0"/>
        <v>60.400000000000205</v>
      </c>
      <c r="H24" s="6">
        <f t="shared" si="1"/>
        <v>184.80000000000018</v>
      </c>
      <c r="I24" s="23">
        <v>76398.77</v>
      </c>
      <c r="J24" s="23">
        <v>0.98699999999999999</v>
      </c>
      <c r="K24" s="7">
        <f t="shared" si="2"/>
        <v>3.6799999999930151</v>
      </c>
      <c r="L24" s="23">
        <v>75</v>
      </c>
      <c r="M24" s="8">
        <f t="shared" si="3"/>
        <v>0</v>
      </c>
      <c r="N24" s="23">
        <v>506</v>
      </c>
      <c r="O24" s="23">
        <v>0</v>
      </c>
      <c r="P24" s="23">
        <v>127512.84</v>
      </c>
      <c r="Q24" s="23">
        <v>0.91800000000000004</v>
      </c>
      <c r="R24" s="25">
        <f t="shared" si="4"/>
        <v>0</v>
      </c>
      <c r="S24" s="26">
        <f t="shared" si="5"/>
        <v>188.4799999999932</v>
      </c>
      <c r="T24" s="23">
        <v>58</v>
      </c>
      <c r="U24" s="23">
        <v>63</v>
      </c>
      <c r="V24" s="23">
        <v>55</v>
      </c>
      <c r="W24" s="11">
        <f t="shared" si="6"/>
        <v>176</v>
      </c>
      <c r="X24" s="23">
        <v>65.430000000000007</v>
      </c>
      <c r="Y24" s="8">
        <f t="shared" si="7"/>
        <v>0</v>
      </c>
      <c r="Z24" s="23">
        <v>3011.19</v>
      </c>
      <c r="AA24" s="23">
        <v>0</v>
      </c>
      <c r="AB24" s="23">
        <v>18066</v>
      </c>
      <c r="AC24" s="8">
        <f t="shared" si="8"/>
        <v>0</v>
      </c>
      <c r="AD24" s="23">
        <v>1186.0999999999999</v>
      </c>
      <c r="AE24" s="24">
        <v>0</v>
      </c>
      <c r="AF24" s="20">
        <f t="shared" si="9"/>
        <v>176</v>
      </c>
      <c r="AG24" s="21">
        <f t="shared" si="10"/>
        <v>60.400000000000205</v>
      </c>
      <c r="AH24" s="22">
        <f t="shared" si="11"/>
        <v>115.5999999999998</v>
      </c>
      <c r="AI24" s="27">
        <f t="shared" si="12"/>
        <v>188.4799999999932</v>
      </c>
      <c r="AJ24" s="28">
        <f t="shared" si="13"/>
        <v>304.07999999999299</v>
      </c>
    </row>
    <row r="25" spans="1:36" ht="26.25" customHeight="1">
      <c r="A25" s="4" t="s">
        <v>54</v>
      </c>
      <c r="B25" s="23">
        <v>218.3</v>
      </c>
      <c r="C25" s="23">
        <v>84.34</v>
      </c>
      <c r="D25" s="23">
        <v>0.75900000000000001</v>
      </c>
      <c r="E25" s="23">
        <v>0.66800000000000004</v>
      </c>
      <c r="F25" s="23">
        <v>40</v>
      </c>
      <c r="G25" s="5">
        <f t="shared" si="0"/>
        <v>79.199999999999591</v>
      </c>
      <c r="H25" s="6">
        <f t="shared" si="1"/>
        <v>356.7999999999995</v>
      </c>
      <c r="I25" s="23">
        <v>76402.45</v>
      </c>
      <c r="J25" s="23">
        <v>0.98699999999999999</v>
      </c>
      <c r="K25" s="7">
        <f t="shared" si="2"/>
        <v>5.0500000000029104</v>
      </c>
      <c r="L25" s="23">
        <v>75</v>
      </c>
      <c r="M25" s="8">
        <f t="shared" si="3"/>
        <v>0</v>
      </c>
      <c r="N25" s="23">
        <v>506</v>
      </c>
      <c r="O25" s="23">
        <v>0</v>
      </c>
      <c r="P25" s="23">
        <v>127512.84</v>
      </c>
      <c r="Q25" s="23">
        <v>0.91800000000000004</v>
      </c>
      <c r="R25" s="25">
        <f t="shared" si="4"/>
        <v>0</v>
      </c>
      <c r="S25" s="26">
        <f t="shared" si="5"/>
        <v>361.85000000000241</v>
      </c>
      <c r="T25" s="23">
        <v>55</v>
      </c>
      <c r="U25" s="23">
        <v>62</v>
      </c>
      <c r="V25" s="23">
        <v>52</v>
      </c>
      <c r="W25" s="11">
        <f t="shared" si="6"/>
        <v>169</v>
      </c>
      <c r="X25" s="23">
        <v>65.430000000000007</v>
      </c>
      <c r="Y25" s="8">
        <f t="shared" si="7"/>
        <v>0</v>
      </c>
      <c r="Z25" s="23">
        <v>3012.29</v>
      </c>
      <c r="AA25" s="23">
        <v>0</v>
      </c>
      <c r="AB25" s="23">
        <v>18066</v>
      </c>
      <c r="AC25" s="8">
        <f t="shared" si="8"/>
        <v>5</v>
      </c>
      <c r="AD25" s="23">
        <v>1186.3</v>
      </c>
      <c r="AE25" s="24">
        <v>0</v>
      </c>
      <c r="AF25" s="20">
        <f t="shared" si="9"/>
        <v>169</v>
      </c>
      <c r="AG25" s="21">
        <f t="shared" si="10"/>
        <v>79.199999999999591</v>
      </c>
      <c r="AH25" s="22">
        <f t="shared" si="11"/>
        <v>89.800000000000409</v>
      </c>
      <c r="AI25" s="27">
        <f t="shared" si="12"/>
        <v>366.85000000000241</v>
      </c>
      <c r="AJ25" s="28">
        <f t="shared" si="13"/>
        <v>456.65000000000282</v>
      </c>
    </row>
    <row r="26" spans="1:36" ht="26.25" customHeight="1">
      <c r="A26" s="4" t="s">
        <v>55</v>
      </c>
      <c r="B26" s="23">
        <v>227.22</v>
      </c>
      <c r="C26" s="23">
        <v>86.32</v>
      </c>
      <c r="D26" s="23">
        <v>0.76300000000000001</v>
      </c>
      <c r="E26" s="23">
        <v>0.68</v>
      </c>
      <c r="F26" s="23">
        <v>40</v>
      </c>
      <c r="G26" s="5">
        <f t="shared" si="0"/>
        <v>54.400000000000546</v>
      </c>
      <c r="H26" s="6">
        <f t="shared" si="1"/>
        <v>192.00000000000045</v>
      </c>
      <c r="I26" s="23">
        <v>76407.5</v>
      </c>
      <c r="J26" s="23">
        <v>0.98699999999999999</v>
      </c>
      <c r="K26" s="7">
        <f t="shared" si="2"/>
        <v>3</v>
      </c>
      <c r="L26" s="23">
        <v>75</v>
      </c>
      <c r="M26" s="8">
        <f t="shared" si="3"/>
        <v>0</v>
      </c>
      <c r="N26" s="23">
        <v>506</v>
      </c>
      <c r="O26" s="23">
        <v>0</v>
      </c>
      <c r="P26" s="23">
        <v>127512.84</v>
      </c>
      <c r="Q26" s="23">
        <v>0.91800000000000004</v>
      </c>
      <c r="R26" s="25">
        <f t="shared" si="4"/>
        <v>0</v>
      </c>
      <c r="S26" s="26">
        <f t="shared" si="5"/>
        <v>195.00000000000045</v>
      </c>
      <c r="T26" s="23">
        <v>36</v>
      </c>
      <c r="U26" s="23">
        <v>67</v>
      </c>
      <c r="V26" s="23">
        <v>68</v>
      </c>
      <c r="W26" s="11">
        <f t="shared" si="6"/>
        <v>171</v>
      </c>
      <c r="X26" s="23">
        <v>65.430000000000007</v>
      </c>
      <c r="Y26" s="8">
        <f t="shared" si="7"/>
        <v>0</v>
      </c>
      <c r="Z26" s="23">
        <v>3012.29</v>
      </c>
      <c r="AA26" s="23">
        <v>0</v>
      </c>
      <c r="AB26" s="23">
        <v>18071</v>
      </c>
      <c r="AC26" s="8">
        <f t="shared" si="8"/>
        <v>2</v>
      </c>
      <c r="AD26" s="23">
        <v>1187.5999999999999</v>
      </c>
      <c r="AE26" s="24">
        <v>0</v>
      </c>
      <c r="AF26" s="20">
        <f t="shared" si="9"/>
        <v>171</v>
      </c>
      <c r="AG26" s="21">
        <f t="shared" si="10"/>
        <v>54.400000000000546</v>
      </c>
      <c r="AH26" s="22">
        <f t="shared" si="11"/>
        <v>116.59999999999945</v>
      </c>
      <c r="AI26" s="27">
        <f t="shared" si="12"/>
        <v>197.00000000000045</v>
      </c>
      <c r="AJ26" s="28">
        <f t="shared" si="13"/>
        <v>313.59999999999991</v>
      </c>
    </row>
    <row r="27" spans="1:36" ht="26.25" customHeight="1">
      <c r="A27" s="4" t="s">
        <v>56</v>
      </c>
      <c r="B27" s="23">
        <v>232.02</v>
      </c>
      <c r="C27" s="23">
        <v>87.68</v>
      </c>
      <c r="D27" s="23">
        <v>0.76500000000000001</v>
      </c>
      <c r="E27" s="23">
        <v>0.67</v>
      </c>
      <c r="F27" s="23">
        <v>40</v>
      </c>
      <c r="G27" s="5">
        <f t="shared" si="0"/>
        <v>38.799999999999955</v>
      </c>
      <c r="H27" s="6">
        <f t="shared" si="1"/>
        <v>160</v>
      </c>
      <c r="I27" s="23">
        <v>76410.5</v>
      </c>
      <c r="J27" s="23">
        <v>0.98699999999999999</v>
      </c>
      <c r="K27" s="7">
        <f t="shared" si="2"/>
        <v>4.1499999999941792</v>
      </c>
      <c r="L27" s="23">
        <v>75</v>
      </c>
      <c r="M27" s="8">
        <f t="shared" si="3"/>
        <v>0</v>
      </c>
      <c r="N27" s="23">
        <v>506</v>
      </c>
      <c r="O27" s="23">
        <v>0</v>
      </c>
      <c r="P27" s="23">
        <v>127512.84</v>
      </c>
      <c r="Q27" s="23">
        <v>0.91800000000000004</v>
      </c>
      <c r="R27" s="25">
        <f t="shared" si="4"/>
        <v>0</v>
      </c>
      <c r="S27" s="26">
        <f t="shared" si="5"/>
        <v>164.14999999999418</v>
      </c>
      <c r="T27" s="23">
        <v>43</v>
      </c>
      <c r="U27" s="23">
        <v>77</v>
      </c>
      <c r="V27" s="23">
        <v>79</v>
      </c>
      <c r="W27" s="11">
        <f t="shared" si="6"/>
        <v>199</v>
      </c>
      <c r="X27" s="23">
        <v>65.430000000000007</v>
      </c>
      <c r="Y27" s="8">
        <f t="shared" si="7"/>
        <v>0</v>
      </c>
      <c r="Z27" s="23">
        <v>3012.29</v>
      </c>
      <c r="AA27" s="23">
        <v>0</v>
      </c>
      <c r="AB27" s="23">
        <v>18073</v>
      </c>
      <c r="AC27" s="8">
        <f t="shared" si="8"/>
        <v>0</v>
      </c>
      <c r="AD27" s="23">
        <v>1187.9000000000001</v>
      </c>
      <c r="AE27" s="24">
        <v>0</v>
      </c>
      <c r="AF27" s="20">
        <f t="shared" si="9"/>
        <v>199</v>
      </c>
      <c r="AG27" s="21">
        <f t="shared" si="10"/>
        <v>38.799999999999955</v>
      </c>
      <c r="AH27" s="22">
        <f t="shared" si="11"/>
        <v>160.20000000000005</v>
      </c>
      <c r="AI27" s="27">
        <f t="shared" si="12"/>
        <v>164.14999999999418</v>
      </c>
      <c r="AJ27" s="28">
        <f t="shared" si="13"/>
        <v>324.34999999999422</v>
      </c>
    </row>
    <row r="28" spans="1:36" ht="26.25" customHeight="1">
      <c r="A28" s="4" t="s">
        <v>57</v>
      </c>
      <c r="B28" s="23">
        <v>236.02</v>
      </c>
      <c r="C28" s="23">
        <v>88.65</v>
      </c>
      <c r="D28" s="23">
        <v>0.76500000000000001</v>
      </c>
      <c r="E28" s="23">
        <v>0.66500000000000004</v>
      </c>
      <c r="F28" s="23">
        <v>40</v>
      </c>
      <c r="G28" s="5">
        <f t="shared" si="0"/>
        <v>48.39999999999975</v>
      </c>
      <c r="H28" s="6">
        <f t="shared" si="1"/>
        <v>195.19999999999982</v>
      </c>
      <c r="I28" s="23">
        <v>76414.649999999994</v>
      </c>
      <c r="J28" s="23">
        <v>0.98699999999999999</v>
      </c>
      <c r="K28" s="7">
        <f t="shared" si="2"/>
        <v>3.9500000000116415</v>
      </c>
      <c r="L28" s="23">
        <v>75</v>
      </c>
      <c r="M28" s="8">
        <f t="shared" si="3"/>
        <v>0</v>
      </c>
      <c r="N28" s="23">
        <v>506</v>
      </c>
      <c r="O28" s="23">
        <v>0</v>
      </c>
      <c r="P28" s="23">
        <v>127512.84</v>
      </c>
      <c r="Q28" s="23">
        <v>0.91800000000000004</v>
      </c>
      <c r="R28" s="25">
        <f t="shared" si="4"/>
        <v>0</v>
      </c>
      <c r="S28" s="26">
        <f t="shared" si="5"/>
        <v>199.15000000001146</v>
      </c>
      <c r="T28" s="23">
        <v>42</v>
      </c>
      <c r="U28" s="23">
        <v>46</v>
      </c>
      <c r="V28" s="23">
        <v>39</v>
      </c>
      <c r="W28" s="11">
        <f t="shared" si="6"/>
        <v>127</v>
      </c>
      <c r="X28" s="23">
        <v>65.430000000000007</v>
      </c>
      <c r="Y28" s="8">
        <f t="shared" si="7"/>
        <v>0</v>
      </c>
      <c r="Z28" s="23">
        <v>3012.29</v>
      </c>
      <c r="AA28" s="23">
        <v>0</v>
      </c>
      <c r="AB28" s="23">
        <v>18073</v>
      </c>
      <c r="AC28" s="8">
        <f t="shared" si="8"/>
        <v>1</v>
      </c>
      <c r="AD28" s="23">
        <v>1187.9000000000001</v>
      </c>
      <c r="AE28" s="24">
        <v>0</v>
      </c>
      <c r="AF28" s="20">
        <f t="shared" si="9"/>
        <v>127</v>
      </c>
      <c r="AG28" s="21">
        <f t="shared" si="10"/>
        <v>48.39999999999975</v>
      </c>
      <c r="AH28" s="22">
        <f t="shared" si="11"/>
        <v>78.60000000000025</v>
      </c>
      <c r="AI28" s="27">
        <f t="shared" si="12"/>
        <v>200.15000000001146</v>
      </c>
      <c r="AJ28" s="28">
        <f t="shared" si="13"/>
        <v>278.75000000001171</v>
      </c>
    </row>
    <row r="29" spans="1:36" ht="26.25" customHeight="1">
      <c r="A29" s="4" t="s">
        <v>58</v>
      </c>
      <c r="B29" s="23">
        <v>240.9</v>
      </c>
      <c r="C29" s="23">
        <v>89.86</v>
      </c>
      <c r="D29" s="23">
        <v>0.76700000000000002</v>
      </c>
      <c r="E29" s="23">
        <v>0.66600000000000004</v>
      </c>
      <c r="F29" s="23">
        <v>40</v>
      </c>
      <c r="G29" s="5">
        <f t="shared" si="0"/>
        <v>106.00000000000023</v>
      </c>
      <c r="H29" s="6">
        <f t="shared" si="1"/>
        <v>151.20000000000005</v>
      </c>
      <c r="I29" s="23">
        <v>76418.600000000006</v>
      </c>
      <c r="J29" s="23">
        <v>0.98699999999999999</v>
      </c>
      <c r="K29" s="7">
        <f t="shared" si="2"/>
        <v>3.7999999999883585</v>
      </c>
      <c r="L29" s="23">
        <v>75</v>
      </c>
      <c r="M29" s="8">
        <f t="shared" si="3"/>
        <v>0</v>
      </c>
      <c r="N29" s="23">
        <v>506</v>
      </c>
      <c r="O29" s="23">
        <v>0</v>
      </c>
      <c r="P29" s="23">
        <v>127512.84</v>
      </c>
      <c r="Q29" s="23">
        <v>0.91800000000000004</v>
      </c>
      <c r="R29" s="25">
        <f t="shared" si="4"/>
        <v>0</v>
      </c>
      <c r="S29" s="26">
        <f t="shared" si="5"/>
        <v>154.9999999999884</v>
      </c>
      <c r="T29" s="23">
        <v>68</v>
      </c>
      <c r="U29" s="23">
        <v>89</v>
      </c>
      <c r="V29" s="23">
        <v>83</v>
      </c>
      <c r="W29" s="11">
        <f t="shared" si="6"/>
        <v>240</v>
      </c>
      <c r="X29" s="23">
        <v>65.430000000000007</v>
      </c>
      <c r="Y29" s="8">
        <f t="shared" si="7"/>
        <v>0</v>
      </c>
      <c r="Z29" s="23">
        <v>3012.29</v>
      </c>
      <c r="AA29" s="23">
        <v>0</v>
      </c>
      <c r="AB29" s="23">
        <v>18074</v>
      </c>
      <c r="AC29" s="8">
        <f t="shared" si="8"/>
        <v>1</v>
      </c>
      <c r="AD29" s="23">
        <v>1188.2</v>
      </c>
      <c r="AE29" s="24">
        <v>0</v>
      </c>
      <c r="AF29" s="20">
        <f t="shared" si="9"/>
        <v>240</v>
      </c>
      <c r="AG29" s="21">
        <f t="shared" si="10"/>
        <v>106.00000000000023</v>
      </c>
      <c r="AH29" s="22">
        <f t="shared" si="11"/>
        <v>133.99999999999977</v>
      </c>
      <c r="AI29" s="27">
        <f t="shared" si="12"/>
        <v>155.9999999999884</v>
      </c>
      <c r="AJ29" s="28">
        <f t="shared" si="13"/>
        <v>289.99999999998818</v>
      </c>
    </row>
    <row r="30" spans="1:36" ht="26.25" customHeight="1">
      <c r="A30" s="4" t="s">
        <v>59</v>
      </c>
      <c r="B30" s="23">
        <v>244.68</v>
      </c>
      <c r="C30" s="23">
        <v>92.51</v>
      </c>
      <c r="D30" s="23">
        <v>0.76800000000000002</v>
      </c>
      <c r="E30" s="23">
        <v>0.67500000000000004</v>
      </c>
      <c r="F30" s="23">
        <v>40</v>
      </c>
      <c r="G30" s="5">
        <f t="shared" si="0"/>
        <v>80.399999999999636</v>
      </c>
      <c r="H30" s="6">
        <f t="shared" si="1"/>
        <v>202.79999999999973</v>
      </c>
      <c r="I30" s="23">
        <v>76422.399999999994</v>
      </c>
      <c r="J30" s="23">
        <v>0.98699999999999999</v>
      </c>
      <c r="K30" s="7">
        <f t="shared" si="2"/>
        <v>3.1000000000058208</v>
      </c>
      <c r="L30" s="23">
        <v>75</v>
      </c>
      <c r="M30" s="8">
        <f t="shared" si="3"/>
        <v>0</v>
      </c>
      <c r="N30" s="23">
        <v>506</v>
      </c>
      <c r="O30" s="23">
        <v>0</v>
      </c>
      <c r="P30" s="23">
        <v>127512.84</v>
      </c>
      <c r="Q30" s="23">
        <v>0.91800000000000004</v>
      </c>
      <c r="R30" s="25">
        <f t="shared" si="4"/>
        <v>0</v>
      </c>
      <c r="S30" s="26">
        <f t="shared" si="5"/>
        <v>205.90000000000555</v>
      </c>
      <c r="T30" s="23">
        <v>68</v>
      </c>
      <c r="U30" s="23">
        <v>73</v>
      </c>
      <c r="V30" s="23">
        <v>75</v>
      </c>
      <c r="W30" s="11">
        <f t="shared" si="6"/>
        <v>216</v>
      </c>
      <c r="X30" s="23">
        <v>65.430000000000007</v>
      </c>
      <c r="Y30" s="8">
        <f t="shared" si="7"/>
        <v>0</v>
      </c>
      <c r="Z30" s="23">
        <v>3012.29</v>
      </c>
      <c r="AA30" s="23">
        <v>0</v>
      </c>
      <c r="AB30" s="23">
        <v>18075</v>
      </c>
      <c r="AC30" s="8">
        <f t="shared" si="8"/>
        <v>5</v>
      </c>
      <c r="AD30" s="23">
        <v>1188.4000000000001</v>
      </c>
      <c r="AE30" s="23">
        <v>0</v>
      </c>
      <c r="AF30" s="20">
        <f t="shared" si="9"/>
        <v>216</v>
      </c>
      <c r="AG30" s="21">
        <f t="shared" si="10"/>
        <v>80.399999999999636</v>
      </c>
      <c r="AH30" s="22">
        <f t="shared" si="11"/>
        <v>135.60000000000036</v>
      </c>
      <c r="AI30" s="27">
        <f t="shared" si="12"/>
        <v>210.90000000000555</v>
      </c>
      <c r="AJ30" s="28">
        <f t="shared" si="13"/>
        <v>346.50000000000591</v>
      </c>
    </row>
    <row r="31" spans="1:36" ht="26.25" customHeight="1">
      <c r="A31" s="4" t="s">
        <v>60</v>
      </c>
      <c r="B31" s="23">
        <v>249.75</v>
      </c>
      <c r="C31" s="23">
        <v>94.52</v>
      </c>
      <c r="D31" s="23">
        <v>0.79400000000000004</v>
      </c>
      <c r="E31" s="23">
        <v>0.67200000000000004</v>
      </c>
      <c r="F31" s="23">
        <v>40</v>
      </c>
      <c r="G31" s="5"/>
      <c r="H31" s="6"/>
      <c r="I31" s="23">
        <v>76425.5</v>
      </c>
      <c r="J31" s="23">
        <v>0.98699999999999999</v>
      </c>
      <c r="K31" s="7"/>
      <c r="L31" s="23">
        <v>75</v>
      </c>
      <c r="M31" s="29"/>
      <c r="N31" s="23">
        <v>506</v>
      </c>
      <c r="O31" s="23">
        <v>0</v>
      </c>
      <c r="P31" s="23">
        <v>127512.84</v>
      </c>
      <c r="Q31" s="23">
        <v>0.91800000000000004</v>
      </c>
      <c r="R31" s="9"/>
      <c r="S31" s="10"/>
      <c r="T31" s="2"/>
      <c r="U31" s="2"/>
      <c r="V31" s="2"/>
      <c r="W31" s="11"/>
      <c r="X31" s="23">
        <v>65.430000000000007</v>
      </c>
      <c r="Y31" s="29"/>
      <c r="Z31" s="23">
        <v>3012.29</v>
      </c>
      <c r="AA31" s="23">
        <v>0</v>
      </c>
      <c r="AB31" s="23">
        <v>18080</v>
      </c>
      <c r="AC31" s="8"/>
      <c r="AD31" s="23">
        <v>1189.0999999999999</v>
      </c>
      <c r="AE31" s="23">
        <v>0</v>
      </c>
      <c r="AF31" s="20">
        <f t="shared" si="9"/>
        <v>0</v>
      </c>
      <c r="AG31" s="21"/>
      <c r="AH31" s="22"/>
      <c r="AI31" s="17"/>
      <c r="AJ31" s="30"/>
    </row>
    <row r="32" spans="1:36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spans="1:36" ht="15.75" customHeight="1">
      <c r="A33" s="31"/>
      <c r="B33" s="31"/>
      <c r="C33" s="31"/>
      <c r="D33" s="31"/>
      <c r="E33" s="32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spans="1:36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spans="1:36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spans="1: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spans="1:36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spans="1:36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spans="1:36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spans="1:36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spans="1:36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spans="1:36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spans="1:36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spans="1:36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spans="1:36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spans="1:3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spans="1:36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spans="1:36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spans="1:36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spans="1:36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spans="1:36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spans="1:36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spans="1:36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spans="1:36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spans="1:36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spans="1:3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spans="1:36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spans="1:36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spans="1:36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spans="1:36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spans="1:36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spans="1:36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spans="1:36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spans="1:36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spans="1:36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spans="1:3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spans="1:36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spans="1:36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spans="1:36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spans="1:36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spans="1:36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spans="1:36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spans="1:36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spans="1:36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spans="1:36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spans="1:3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spans="1:36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spans="1:36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spans="1:36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</row>
    <row r="80" spans="1:36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</row>
    <row r="81" spans="1:36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</row>
    <row r="82" spans="1:36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</row>
    <row r="83" spans="1:36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</row>
    <row r="84" spans="1:36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</row>
    <row r="85" spans="1:36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</row>
    <row r="86" spans="1:3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</row>
    <row r="87" spans="1:36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</row>
    <row r="88" spans="1:36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</row>
    <row r="89" spans="1:36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</row>
    <row r="90" spans="1:36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</row>
    <row r="91" spans="1:36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</row>
    <row r="92" spans="1:36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</row>
    <row r="93" spans="1:36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spans="1:3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</row>
    <row r="98" spans="1:36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</row>
    <row r="99" spans="1:36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</row>
    <row r="100" spans="1:36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</row>
    <row r="101" spans="1:36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</row>
    <row r="102" spans="1:36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</row>
    <row r="103" spans="1:36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</row>
    <row r="104" spans="1:36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</row>
    <row r="105" spans="1:36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</row>
    <row r="106" spans="1:3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</row>
    <row r="107" spans="1:36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</row>
    <row r="108" spans="1:36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</row>
    <row r="109" spans="1:36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</row>
    <row r="110" spans="1:36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</row>
    <row r="111" spans="1:36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</row>
    <row r="112" spans="1:36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</row>
    <row r="113" spans="1:36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</row>
    <row r="114" spans="1:36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</row>
    <row r="115" spans="1:36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</row>
    <row r="116" spans="1:3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</row>
    <row r="117" spans="1:36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</row>
    <row r="118" spans="1:36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</row>
    <row r="119" spans="1:36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</row>
    <row r="120" spans="1:36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</row>
    <row r="121" spans="1:36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</row>
    <row r="122" spans="1:36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</row>
    <row r="123" spans="1:36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</row>
    <row r="124" spans="1:36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</row>
    <row r="125" spans="1:36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</row>
    <row r="126" spans="1:3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</row>
    <row r="127" spans="1:36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</row>
    <row r="128" spans="1:36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</row>
    <row r="129" spans="1:36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</row>
    <row r="130" spans="1:36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</row>
    <row r="131" spans="1:36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</row>
    <row r="132" spans="1:36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</row>
    <row r="133" spans="1:36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</row>
    <row r="134" spans="1:36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</row>
    <row r="135" spans="1:36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</row>
    <row r="136" spans="1: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</row>
    <row r="137" spans="1:36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</row>
    <row r="138" spans="1:36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</row>
    <row r="139" spans="1:36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</row>
    <row r="140" spans="1:36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</row>
    <row r="141" spans="1:36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</row>
    <row r="142" spans="1:36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</row>
    <row r="143" spans="1:36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</row>
    <row r="144" spans="1:36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</row>
    <row r="145" spans="1:36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</row>
    <row r="146" spans="1:3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</row>
    <row r="147" spans="1:36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</row>
    <row r="148" spans="1:36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</row>
    <row r="149" spans="1:36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</row>
    <row r="150" spans="1:36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</row>
    <row r="151" spans="1:36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</row>
    <row r="152" spans="1:36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</row>
    <row r="153" spans="1:36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</row>
    <row r="154" spans="1:36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</row>
    <row r="155" spans="1:36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</row>
    <row r="156" spans="1:3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</row>
    <row r="157" spans="1:36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</row>
    <row r="158" spans="1:36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</row>
    <row r="159" spans="1:36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</row>
    <row r="160" spans="1:36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</row>
    <row r="161" spans="1:36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</row>
    <row r="162" spans="1:36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</row>
    <row r="163" spans="1:36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</row>
    <row r="164" spans="1:36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</row>
    <row r="165" spans="1:36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</row>
    <row r="166" spans="1:3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</row>
    <row r="167" spans="1:36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</row>
    <row r="168" spans="1:36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</row>
    <row r="169" spans="1:36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</row>
    <row r="170" spans="1:36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</row>
    <row r="171" spans="1:36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</row>
    <row r="172" spans="1:36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</row>
    <row r="173" spans="1:36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</row>
    <row r="174" spans="1:36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</row>
    <row r="175" spans="1:36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</row>
    <row r="176" spans="1:3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</row>
    <row r="177" spans="1:36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</row>
    <row r="178" spans="1:36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</row>
    <row r="179" spans="1:36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</row>
    <row r="180" spans="1:36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</row>
    <row r="181" spans="1:36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</row>
    <row r="182" spans="1:36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</row>
    <row r="183" spans="1:36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</row>
    <row r="184" spans="1:36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</row>
    <row r="185" spans="1:36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</row>
    <row r="186" spans="1:3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</row>
    <row r="187" spans="1:36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</row>
    <row r="188" spans="1:36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</row>
    <row r="189" spans="1:36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</row>
    <row r="190" spans="1:36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</row>
    <row r="191" spans="1:36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</row>
    <row r="192" spans="1:36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</row>
    <row r="193" spans="1:36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</row>
    <row r="194" spans="1:36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</row>
    <row r="195" spans="1:36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</row>
    <row r="196" spans="1:3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</row>
    <row r="197" spans="1:36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</row>
    <row r="198" spans="1:36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</row>
    <row r="199" spans="1:36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</row>
    <row r="200" spans="1:36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</row>
    <row r="201" spans="1:36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</row>
    <row r="202" spans="1:36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</row>
    <row r="203" spans="1:36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</row>
    <row r="204" spans="1:36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</row>
    <row r="205" spans="1:36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</row>
    <row r="206" spans="1:3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</row>
    <row r="207" spans="1:36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</row>
    <row r="208" spans="1:36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</row>
    <row r="209" spans="1:36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</row>
    <row r="210" spans="1:36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</row>
    <row r="211" spans="1:36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</row>
    <row r="212" spans="1:36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</row>
    <row r="213" spans="1:36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</row>
    <row r="214" spans="1:36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</row>
    <row r="215" spans="1:36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</row>
    <row r="216" spans="1:3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</row>
    <row r="217" spans="1:36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</row>
    <row r="218" spans="1:36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</row>
    <row r="219" spans="1:36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</row>
    <row r="220" spans="1:36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</row>
    <row r="221" spans="1:36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</row>
    <row r="222" spans="1:36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</row>
    <row r="223" spans="1:36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</row>
    <row r="224" spans="1:36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</row>
    <row r="225" spans="1:36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</row>
    <row r="226" spans="1:3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</row>
    <row r="227" spans="1:36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</row>
    <row r="228" spans="1:36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</row>
    <row r="229" spans="1:36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</row>
    <row r="230" spans="1:36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</row>
    <row r="231" spans="1:36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</row>
    <row r="232" spans="1:36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</row>
    <row r="233" spans="1:36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</row>
    <row r="234" spans="1:36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</row>
    <row r="235" spans="1:36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</row>
    <row r="236" spans="1: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</row>
    <row r="237" spans="1:36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</row>
    <row r="238" spans="1:36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</row>
    <row r="239" spans="1:36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</row>
    <row r="240" spans="1:36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</row>
    <row r="241" spans="1:36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</row>
    <row r="242" spans="1:36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</row>
    <row r="243" spans="1:36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</row>
    <row r="244" spans="1:36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</row>
    <row r="245" spans="1:36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</row>
    <row r="246" spans="1:3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</row>
    <row r="247" spans="1:36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</row>
    <row r="248" spans="1:36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</row>
    <row r="249" spans="1:36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</row>
    <row r="250" spans="1:36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</row>
    <row r="251" spans="1:36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</row>
    <row r="252" spans="1:36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</row>
    <row r="253" spans="1:36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</row>
    <row r="254" spans="1:36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</row>
    <row r="255" spans="1:36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</row>
    <row r="256" spans="1:3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</row>
    <row r="257" spans="1:36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</row>
    <row r="258" spans="1:36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</row>
    <row r="259" spans="1:36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</row>
    <row r="260" spans="1:36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</row>
    <row r="261" spans="1:36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</row>
    <row r="262" spans="1:36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</row>
    <row r="263" spans="1:36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</row>
    <row r="264" spans="1:36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</row>
    <row r="265" spans="1:36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</row>
    <row r="266" spans="1:3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</row>
    <row r="267" spans="1:36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</row>
    <row r="268" spans="1:36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</row>
    <row r="269" spans="1:36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</row>
    <row r="270" spans="1:36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</row>
    <row r="271" spans="1:36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</row>
    <row r="272" spans="1:36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</row>
    <row r="273" spans="1:36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</row>
    <row r="274" spans="1:36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</row>
    <row r="275" spans="1:36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</row>
    <row r="276" spans="1:3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</row>
    <row r="277" spans="1:36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</row>
    <row r="278" spans="1:36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</row>
    <row r="279" spans="1:36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</row>
    <row r="280" spans="1:36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</row>
    <row r="281" spans="1:36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</row>
    <row r="282" spans="1:36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</row>
    <row r="283" spans="1:36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</row>
    <row r="284" spans="1:36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</row>
    <row r="285" spans="1:36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</row>
    <row r="286" spans="1:3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</row>
    <row r="287" spans="1:36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</row>
    <row r="288" spans="1:36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</row>
    <row r="289" spans="1:36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</row>
    <row r="290" spans="1:36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</row>
    <row r="291" spans="1:36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</row>
    <row r="292" spans="1:36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</row>
    <row r="293" spans="1:36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</row>
    <row r="294" spans="1:36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</row>
    <row r="295" spans="1:36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</row>
    <row r="296" spans="1:3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</row>
    <row r="297" spans="1:36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</row>
    <row r="298" spans="1:36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</row>
    <row r="299" spans="1:36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</row>
    <row r="300" spans="1:36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</row>
    <row r="301" spans="1:36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</row>
    <row r="302" spans="1:36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</row>
    <row r="303" spans="1:36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</row>
    <row r="304" spans="1:36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</row>
    <row r="305" spans="1:36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</row>
    <row r="306" spans="1:3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</row>
    <row r="307" spans="1:36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</row>
    <row r="308" spans="1:36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</row>
    <row r="309" spans="1:36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</row>
    <row r="310" spans="1:36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</row>
    <row r="311" spans="1:36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</row>
    <row r="312" spans="1:36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</row>
    <row r="313" spans="1:36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</row>
    <row r="314" spans="1:36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</row>
    <row r="315" spans="1:36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</row>
    <row r="316" spans="1:3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</row>
    <row r="317" spans="1:36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</row>
    <row r="318" spans="1:36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</row>
    <row r="319" spans="1:36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</row>
    <row r="320" spans="1:36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</row>
    <row r="321" spans="1:36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</row>
    <row r="322" spans="1:36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</row>
    <row r="323" spans="1:36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</row>
    <row r="324" spans="1:36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</row>
    <row r="325" spans="1:36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</row>
    <row r="326" spans="1:3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</row>
    <row r="327" spans="1:36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</row>
    <row r="328" spans="1:36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</row>
    <row r="329" spans="1:36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</row>
    <row r="330" spans="1:36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</row>
    <row r="331" spans="1:36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</row>
    <row r="332" spans="1:36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</row>
    <row r="333" spans="1:36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</row>
    <row r="334" spans="1:36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</row>
    <row r="335" spans="1:36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</row>
    <row r="336" spans="1: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</row>
    <row r="337" spans="1:36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</row>
    <row r="338" spans="1:36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</row>
    <row r="339" spans="1:36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</row>
    <row r="340" spans="1:36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</row>
    <row r="341" spans="1:36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</row>
    <row r="342" spans="1:36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</row>
    <row r="343" spans="1:36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</row>
    <row r="344" spans="1:36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</row>
    <row r="345" spans="1:36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</row>
    <row r="346" spans="1:3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</row>
    <row r="347" spans="1:36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</row>
    <row r="348" spans="1:36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</row>
    <row r="349" spans="1:36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</row>
    <row r="350" spans="1:36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</row>
    <row r="351" spans="1:36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</row>
    <row r="352" spans="1:36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</row>
    <row r="353" spans="1:36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</row>
    <row r="354" spans="1:36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</row>
    <row r="355" spans="1:36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</row>
    <row r="356" spans="1:3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</row>
    <row r="357" spans="1:36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</row>
    <row r="358" spans="1:36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</row>
    <row r="359" spans="1:36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</row>
    <row r="360" spans="1:36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</row>
    <row r="361" spans="1:36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</row>
    <row r="362" spans="1:36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</row>
    <row r="363" spans="1:36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</row>
    <row r="364" spans="1:36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</row>
    <row r="365" spans="1:36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</row>
    <row r="366" spans="1:3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</row>
    <row r="367" spans="1:36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</row>
    <row r="368" spans="1:36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</row>
    <row r="369" spans="1:36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</row>
    <row r="370" spans="1:36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</row>
    <row r="371" spans="1:36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</row>
    <row r="372" spans="1:36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</row>
    <row r="373" spans="1:36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</row>
    <row r="374" spans="1:36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</row>
    <row r="375" spans="1:36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</row>
    <row r="376" spans="1:3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</row>
    <row r="377" spans="1:36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</row>
    <row r="378" spans="1:36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</row>
    <row r="379" spans="1:36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</row>
    <row r="380" spans="1:36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</row>
    <row r="381" spans="1:36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</row>
    <row r="382" spans="1:36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</row>
    <row r="383" spans="1:36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</row>
    <row r="384" spans="1:36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</row>
    <row r="385" spans="1:36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</row>
    <row r="386" spans="1:3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</row>
    <row r="387" spans="1:36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</row>
    <row r="388" spans="1:36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</row>
    <row r="389" spans="1:36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</row>
    <row r="390" spans="1:36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</row>
    <row r="391" spans="1:36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</row>
    <row r="392" spans="1:36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</row>
    <row r="393" spans="1:36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</row>
    <row r="394" spans="1:36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</row>
    <row r="395" spans="1:36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</row>
    <row r="396" spans="1:3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</row>
    <row r="397" spans="1:36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</row>
    <row r="398" spans="1:36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</row>
    <row r="399" spans="1:36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</row>
    <row r="400" spans="1:36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</row>
    <row r="401" spans="1:36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</row>
    <row r="402" spans="1:36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</row>
    <row r="403" spans="1:36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</row>
    <row r="404" spans="1:36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</row>
    <row r="405" spans="1:36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</row>
    <row r="406" spans="1:3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</row>
    <row r="407" spans="1:36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</row>
    <row r="408" spans="1:36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</row>
    <row r="409" spans="1:36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</row>
    <row r="410" spans="1:36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</row>
    <row r="411" spans="1:36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</row>
    <row r="412" spans="1:36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</row>
    <row r="413" spans="1:36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</row>
    <row r="414" spans="1:36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</row>
    <row r="415" spans="1:36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</row>
    <row r="416" spans="1:3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</row>
    <row r="417" spans="1:36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</row>
    <row r="418" spans="1:36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</row>
    <row r="419" spans="1:36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</row>
    <row r="420" spans="1:36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</row>
    <row r="421" spans="1:36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</row>
    <row r="422" spans="1:36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</row>
    <row r="423" spans="1:36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</row>
    <row r="424" spans="1:36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</row>
    <row r="425" spans="1:36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</row>
    <row r="426" spans="1:3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</row>
    <row r="427" spans="1:36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</row>
    <row r="428" spans="1:36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</row>
    <row r="429" spans="1:36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</row>
    <row r="430" spans="1:36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</row>
    <row r="431" spans="1:36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</row>
    <row r="432" spans="1:36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</row>
    <row r="433" spans="1:36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</row>
    <row r="434" spans="1:36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</row>
    <row r="435" spans="1:36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</row>
    <row r="436" spans="1: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</row>
    <row r="437" spans="1:36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</row>
    <row r="438" spans="1:36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</row>
    <row r="439" spans="1:36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</row>
    <row r="440" spans="1:36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</row>
    <row r="441" spans="1:36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</row>
    <row r="442" spans="1:36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</row>
    <row r="443" spans="1:36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</row>
    <row r="444" spans="1:36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</row>
    <row r="445" spans="1:36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</row>
    <row r="446" spans="1:3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</row>
    <row r="447" spans="1:36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</row>
    <row r="448" spans="1:36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</row>
    <row r="449" spans="1:36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</row>
    <row r="450" spans="1:36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</row>
    <row r="451" spans="1:36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</row>
    <row r="452" spans="1:36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</row>
    <row r="453" spans="1:36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</row>
    <row r="454" spans="1:36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</row>
    <row r="455" spans="1:36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</row>
    <row r="456" spans="1:3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</row>
    <row r="457" spans="1:36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</row>
    <row r="458" spans="1:36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</row>
    <row r="459" spans="1:36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</row>
    <row r="460" spans="1:36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</row>
    <row r="461" spans="1:36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</row>
    <row r="462" spans="1:36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</row>
    <row r="463" spans="1:36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</row>
    <row r="464" spans="1:36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</row>
    <row r="465" spans="1:36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</row>
    <row r="466" spans="1:3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</row>
    <row r="467" spans="1:36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</row>
    <row r="468" spans="1:36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</row>
    <row r="469" spans="1:36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</row>
    <row r="470" spans="1:36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</row>
    <row r="471" spans="1:36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</row>
    <row r="472" spans="1:36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</row>
    <row r="473" spans="1:36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</row>
    <row r="474" spans="1:36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</row>
    <row r="475" spans="1:36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</row>
    <row r="476" spans="1:3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</row>
    <row r="477" spans="1:36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</row>
    <row r="478" spans="1:36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</row>
    <row r="479" spans="1:36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</row>
    <row r="480" spans="1:36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</row>
    <row r="481" spans="1:36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</row>
    <row r="482" spans="1:36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</row>
    <row r="483" spans="1:36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</row>
    <row r="484" spans="1:36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</row>
    <row r="485" spans="1:36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</row>
    <row r="486" spans="1:3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</row>
    <row r="487" spans="1:36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</row>
    <row r="488" spans="1:36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</row>
    <row r="489" spans="1:36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</row>
    <row r="490" spans="1:36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</row>
    <row r="491" spans="1:36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</row>
    <row r="492" spans="1:36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</row>
    <row r="493" spans="1:36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</row>
    <row r="494" spans="1:36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</row>
    <row r="495" spans="1:36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</row>
    <row r="496" spans="1:3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</row>
    <row r="497" spans="1:36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</row>
    <row r="498" spans="1:36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</row>
    <row r="499" spans="1:36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</row>
    <row r="500" spans="1:36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</row>
    <row r="501" spans="1:36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</row>
    <row r="502" spans="1:36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</row>
    <row r="503" spans="1:36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</row>
    <row r="504" spans="1:36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</row>
    <row r="505" spans="1:36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</row>
    <row r="506" spans="1:3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</row>
    <row r="507" spans="1:36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</row>
    <row r="508" spans="1:36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</row>
    <row r="509" spans="1:36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</row>
    <row r="510" spans="1:36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</row>
    <row r="511" spans="1:36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</row>
    <row r="512" spans="1:36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</row>
    <row r="513" spans="1:36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</row>
    <row r="514" spans="1:36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</row>
    <row r="515" spans="1:36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</row>
    <row r="516" spans="1:3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</row>
    <row r="517" spans="1:36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</row>
    <row r="518" spans="1:36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</row>
    <row r="519" spans="1:36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</row>
    <row r="520" spans="1:36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</row>
    <row r="521" spans="1:36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</row>
    <row r="522" spans="1:36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</row>
    <row r="523" spans="1:36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</row>
    <row r="524" spans="1:36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</row>
    <row r="525" spans="1:36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</row>
    <row r="526" spans="1:3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</row>
    <row r="527" spans="1:36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</row>
    <row r="528" spans="1:36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</row>
    <row r="529" spans="1:36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</row>
    <row r="530" spans="1:36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</row>
    <row r="531" spans="1:36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</row>
    <row r="532" spans="1:36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</row>
    <row r="533" spans="1:36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</row>
    <row r="534" spans="1:36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</row>
    <row r="535" spans="1:36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</row>
    <row r="536" spans="1: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</row>
    <row r="537" spans="1:36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</row>
    <row r="538" spans="1:36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</row>
    <row r="539" spans="1:36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</row>
    <row r="540" spans="1:36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</row>
    <row r="541" spans="1:36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</row>
    <row r="542" spans="1:36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</row>
    <row r="543" spans="1:36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</row>
    <row r="544" spans="1:36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</row>
    <row r="545" spans="1:36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</row>
    <row r="546" spans="1:3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</row>
    <row r="547" spans="1:36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</row>
    <row r="548" spans="1:36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</row>
    <row r="549" spans="1:36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</row>
    <row r="550" spans="1:36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</row>
    <row r="551" spans="1:36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</row>
    <row r="552" spans="1:36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</row>
    <row r="553" spans="1:36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</row>
    <row r="554" spans="1:36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</row>
    <row r="555" spans="1:36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</row>
    <row r="556" spans="1:3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</row>
    <row r="557" spans="1:36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</row>
    <row r="558" spans="1:36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</row>
    <row r="559" spans="1:36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</row>
    <row r="560" spans="1:36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</row>
    <row r="561" spans="1:36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</row>
    <row r="562" spans="1:36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</row>
    <row r="563" spans="1:36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</row>
    <row r="564" spans="1:36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</row>
    <row r="565" spans="1:36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</row>
    <row r="566" spans="1:3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</row>
    <row r="567" spans="1:36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</row>
    <row r="568" spans="1:36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</row>
    <row r="569" spans="1:36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</row>
    <row r="570" spans="1:36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</row>
    <row r="571" spans="1:36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</row>
    <row r="572" spans="1:36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</row>
    <row r="573" spans="1:36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</row>
    <row r="574" spans="1:36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</row>
    <row r="575" spans="1:36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</row>
    <row r="576" spans="1:3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</row>
    <row r="577" spans="1:36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</row>
    <row r="578" spans="1:36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</row>
    <row r="579" spans="1:36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</row>
    <row r="580" spans="1:36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</row>
    <row r="581" spans="1:36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</row>
    <row r="582" spans="1:36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</row>
    <row r="583" spans="1:36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</row>
    <row r="584" spans="1:36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</row>
    <row r="585" spans="1:36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</row>
    <row r="586" spans="1:3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</row>
    <row r="587" spans="1:36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</row>
    <row r="588" spans="1:36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</row>
    <row r="589" spans="1:36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</row>
    <row r="590" spans="1:36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</row>
    <row r="591" spans="1:36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</row>
    <row r="592" spans="1:36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</row>
    <row r="593" spans="1:36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</row>
    <row r="594" spans="1:36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</row>
    <row r="595" spans="1:36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</row>
    <row r="596" spans="1:3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</row>
    <row r="597" spans="1:36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</row>
    <row r="598" spans="1:36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</row>
    <row r="599" spans="1:36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</row>
    <row r="600" spans="1:36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</row>
    <row r="601" spans="1:36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</row>
    <row r="602" spans="1:36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</row>
    <row r="603" spans="1:36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</row>
    <row r="604" spans="1:36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</row>
    <row r="605" spans="1:36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</row>
    <row r="606" spans="1:3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</row>
    <row r="607" spans="1:36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</row>
    <row r="608" spans="1:36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</row>
    <row r="609" spans="1:36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</row>
    <row r="610" spans="1:36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</row>
    <row r="611" spans="1:36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</row>
    <row r="612" spans="1:36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</row>
    <row r="613" spans="1:36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</row>
    <row r="614" spans="1:36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</row>
    <row r="615" spans="1:36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</row>
    <row r="616" spans="1:3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</row>
    <row r="617" spans="1:36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</row>
    <row r="618" spans="1:36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</row>
    <row r="619" spans="1:36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</row>
    <row r="620" spans="1:36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</row>
    <row r="621" spans="1:36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</row>
    <row r="622" spans="1:36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</row>
    <row r="623" spans="1:36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</row>
    <row r="624" spans="1:36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</row>
    <row r="625" spans="1:36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</row>
    <row r="626" spans="1:3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</row>
    <row r="627" spans="1:36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</row>
    <row r="628" spans="1:36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</row>
    <row r="629" spans="1:36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</row>
    <row r="630" spans="1:36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</row>
    <row r="631" spans="1:36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</row>
    <row r="632" spans="1:36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</row>
    <row r="633" spans="1:36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</row>
    <row r="634" spans="1:36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</row>
    <row r="635" spans="1:36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</row>
    <row r="636" spans="1: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</row>
    <row r="637" spans="1:36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</row>
    <row r="638" spans="1:36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</row>
    <row r="639" spans="1:36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</row>
    <row r="640" spans="1:36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</row>
    <row r="641" spans="1:36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</row>
    <row r="642" spans="1:36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</row>
    <row r="643" spans="1:36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</row>
    <row r="644" spans="1:36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</row>
    <row r="645" spans="1:36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</row>
    <row r="646" spans="1:3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</row>
    <row r="647" spans="1:36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</row>
    <row r="648" spans="1:36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</row>
    <row r="649" spans="1:36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</row>
    <row r="650" spans="1:36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</row>
    <row r="651" spans="1:36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</row>
    <row r="652" spans="1:36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</row>
    <row r="653" spans="1:36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</row>
    <row r="654" spans="1:36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</row>
    <row r="655" spans="1:36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</row>
    <row r="656" spans="1:3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</row>
    <row r="657" spans="1:36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</row>
    <row r="658" spans="1:36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</row>
    <row r="659" spans="1:36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</row>
    <row r="660" spans="1:36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</row>
    <row r="661" spans="1:36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</row>
    <row r="662" spans="1:36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</row>
    <row r="663" spans="1:36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</row>
    <row r="664" spans="1:36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</row>
    <row r="665" spans="1:36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</row>
    <row r="666" spans="1:3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</row>
    <row r="667" spans="1:36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</row>
    <row r="668" spans="1:36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</row>
    <row r="669" spans="1:36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</row>
    <row r="670" spans="1:36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</row>
    <row r="671" spans="1:36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</row>
    <row r="672" spans="1:36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</row>
    <row r="673" spans="1:36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</row>
    <row r="674" spans="1:36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</row>
    <row r="675" spans="1:36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</row>
    <row r="676" spans="1:3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</row>
    <row r="677" spans="1:36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</row>
    <row r="678" spans="1:36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</row>
    <row r="679" spans="1:36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</row>
    <row r="680" spans="1:36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</row>
    <row r="681" spans="1:36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</row>
    <row r="682" spans="1:36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</row>
    <row r="683" spans="1:36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</row>
    <row r="684" spans="1:36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</row>
    <row r="685" spans="1:36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</row>
    <row r="686" spans="1:3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</row>
    <row r="687" spans="1:36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</row>
    <row r="688" spans="1:36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</row>
    <row r="689" spans="1:36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</row>
    <row r="690" spans="1:36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</row>
    <row r="691" spans="1:36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</row>
    <row r="692" spans="1:36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</row>
    <row r="693" spans="1:36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</row>
    <row r="694" spans="1:36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</row>
    <row r="695" spans="1:36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</row>
    <row r="696" spans="1:3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</row>
    <row r="697" spans="1:36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</row>
    <row r="698" spans="1:36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</row>
    <row r="699" spans="1:36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</row>
    <row r="700" spans="1:36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</row>
    <row r="701" spans="1:36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</row>
    <row r="702" spans="1:36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</row>
    <row r="703" spans="1:36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</row>
    <row r="704" spans="1:36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</row>
    <row r="705" spans="1:36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</row>
    <row r="706" spans="1:3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</row>
    <row r="707" spans="1:36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</row>
    <row r="708" spans="1:36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</row>
    <row r="709" spans="1:36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</row>
    <row r="710" spans="1:36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</row>
    <row r="711" spans="1:36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</row>
    <row r="712" spans="1:36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</row>
    <row r="713" spans="1:36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</row>
    <row r="714" spans="1:36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</row>
    <row r="715" spans="1:36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</row>
    <row r="716" spans="1:3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</row>
    <row r="717" spans="1:36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</row>
    <row r="718" spans="1:36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</row>
    <row r="719" spans="1:36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</row>
    <row r="720" spans="1:36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</row>
    <row r="721" spans="1:36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</row>
    <row r="722" spans="1:36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</row>
    <row r="723" spans="1:36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</row>
    <row r="724" spans="1:36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</row>
    <row r="725" spans="1:36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</row>
    <row r="726" spans="1:3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</row>
    <row r="727" spans="1:36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</row>
    <row r="728" spans="1:36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</row>
    <row r="729" spans="1:36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</row>
    <row r="730" spans="1:36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</row>
    <row r="731" spans="1:36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</row>
    <row r="732" spans="1:36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</row>
    <row r="733" spans="1:36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</row>
    <row r="734" spans="1:36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</row>
    <row r="735" spans="1:36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</row>
    <row r="736" spans="1: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</row>
    <row r="737" spans="1:36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</row>
    <row r="738" spans="1:36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</row>
    <row r="739" spans="1:36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</row>
    <row r="740" spans="1:36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</row>
    <row r="741" spans="1:36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</row>
    <row r="742" spans="1:36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</row>
    <row r="743" spans="1:36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</row>
    <row r="744" spans="1:36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</row>
    <row r="745" spans="1:36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</row>
    <row r="746" spans="1:3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</row>
    <row r="747" spans="1:36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</row>
    <row r="748" spans="1:36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</row>
    <row r="749" spans="1:36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</row>
    <row r="750" spans="1:36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</row>
    <row r="751" spans="1:36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</row>
    <row r="752" spans="1:36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</row>
    <row r="753" spans="1:36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</row>
    <row r="754" spans="1:36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</row>
    <row r="755" spans="1:36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</row>
    <row r="756" spans="1:3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</row>
    <row r="757" spans="1:36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</row>
    <row r="758" spans="1:36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</row>
    <row r="759" spans="1:36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</row>
    <row r="760" spans="1:36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</row>
    <row r="761" spans="1:36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</row>
    <row r="762" spans="1:36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</row>
    <row r="763" spans="1:36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</row>
    <row r="764" spans="1:36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</row>
    <row r="765" spans="1:36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</row>
    <row r="766" spans="1:3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</row>
    <row r="767" spans="1:36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</row>
    <row r="768" spans="1:36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</row>
    <row r="769" spans="1:36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</row>
    <row r="770" spans="1:36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</row>
    <row r="771" spans="1:36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</row>
    <row r="772" spans="1:36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</row>
    <row r="773" spans="1:36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</row>
    <row r="774" spans="1:36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</row>
    <row r="775" spans="1:36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</row>
    <row r="776" spans="1:3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</row>
    <row r="777" spans="1:36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</row>
    <row r="778" spans="1:36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</row>
    <row r="779" spans="1:36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</row>
    <row r="780" spans="1:36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</row>
    <row r="781" spans="1:36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</row>
    <row r="782" spans="1:36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</row>
    <row r="783" spans="1:36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</row>
    <row r="784" spans="1:36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</row>
    <row r="785" spans="1:36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</row>
    <row r="786" spans="1:3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</row>
    <row r="787" spans="1:36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</row>
    <row r="788" spans="1:36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</row>
    <row r="789" spans="1:36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</row>
    <row r="790" spans="1:36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</row>
    <row r="791" spans="1:36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</row>
    <row r="792" spans="1:36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</row>
    <row r="793" spans="1:36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</row>
    <row r="794" spans="1:36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</row>
    <row r="795" spans="1:36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</row>
    <row r="796" spans="1:3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</row>
    <row r="797" spans="1:36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</row>
    <row r="798" spans="1:36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</row>
    <row r="799" spans="1:36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</row>
    <row r="800" spans="1:36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</row>
    <row r="801" spans="1:36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</row>
    <row r="802" spans="1:36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</row>
    <row r="803" spans="1:36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</row>
    <row r="804" spans="1:36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</row>
    <row r="805" spans="1:36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</row>
    <row r="806" spans="1:3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</row>
    <row r="807" spans="1:36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</row>
    <row r="808" spans="1:36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</row>
    <row r="809" spans="1:36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</row>
    <row r="810" spans="1:36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</row>
    <row r="811" spans="1:36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</row>
    <row r="812" spans="1:36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</row>
    <row r="813" spans="1:36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</row>
    <row r="814" spans="1:36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</row>
    <row r="815" spans="1:36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</row>
    <row r="816" spans="1:3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</row>
    <row r="817" spans="1:36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</row>
    <row r="818" spans="1:36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</row>
    <row r="819" spans="1:36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</row>
    <row r="820" spans="1:36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</row>
    <row r="821" spans="1:36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</row>
    <row r="822" spans="1:36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</row>
    <row r="823" spans="1:36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</row>
    <row r="824" spans="1:36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</row>
    <row r="825" spans="1:36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</row>
    <row r="826" spans="1:3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</row>
    <row r="827" spans="1:36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</row>
    <row r="828" spans="1:36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</row>
    <row r="829" spans="1:36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</row>
    <row r="830" spans="1:36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</row>
    <row r="831" spans="1:36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</row>
    <row r="832" spans="1:36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</row>
    <row r="833" spans="1:36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</row>
    <row r="834" spans="1:36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</row>
    <row r="835" spans="1:36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</row>
    <row r="836" spans="1: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</row>
    <row r="837" spans="1:36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</row>
    <row r="838" spans="1:36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</row>
    <row r="839" spans="1:36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</row>
    <row r="840" spans="1:36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</row>
    <row r="841" spans="1:36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</row>
    <row r="842" spans="1:36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</row>
    <row r="843" spans="1:36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</row>
    <row r="844" spans="1:36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</row>
    <row r="845" spans="1:36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</row>
    <row r="846" spans="1:3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</row>
    <row r="847" spans="1:36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</row>
    <row r="848" spans="1:36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</row>
    <row r="849" spans="1:36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</row>
    <row r="850" spans="1:36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</row>
    <row r="851" spans="1:36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</row>
    <row r="852" spans="1:36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</row>
    <row r="853" spans="1:36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</row>
    <row r="854" spans="1:36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</row>
    <row r="855" spans="1:36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</row>
    <row r="856" spans="1:3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</row>
    <row r="857" spans="1:36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</row>
    <row r="858" spans="1:36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</row>
    <row r="859" spans="1:36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</row>
    <row r="860" spans="1:36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</row>
    <row r="861" spans="1:36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</row>
    <row r="862" spans="1:36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</row>
    <row r="863" spans="1:36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</row>
    <row r="864" spans="1:36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</row>
    <row r="865" spans="1:36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</row>
    <row r="866" spans="1:3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</row>
    <row r="867" spans="1:36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</row>
    <row r="868" spans="1:36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</row>
    <row r="869" spans="1:36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</row>
    <row r="870" spans="1:36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</row>
    <row r="871" spans="1:36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</row>
    <row r="872" spans="1:36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</row>
    <row r="873" spans="1:36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</row>
    <row r="874" spans="1:36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</row>
    <row r="875" spans="1:36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</row>
    <row r="876" spans="1:3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</row>
    <row r="877" spans="1:36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</row>
    <row r="878" spans="1:36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</row>
    <row r="879" spans="1:36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</row>
    <row r="880" spans="1:36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</row>
    <row r="881" spans="1:36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</row>
    <row r="882" spans="1:36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</row>
    <row r="883" spans="1:36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</row>
    <row r="884" spans="1:36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</row>
    <row r="885" spans="1:36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</row>
    <row r="886" spans="1:3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</row>
    <row r="887" spans="1:36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</row>
    <row r="888" spans="1:36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</row>
    <row r="889" spans="1:36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</row>
    <row r="890" spans="1:36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</row>
    <row r="891" spans="1:36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</row>
    <row r="892" spans="1:36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</row>
    <row r="893" spans="1:36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</row>
    <row r="894" spans="1:36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</row>
    <row r="895" spans="1:36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</row>
    <row r="896" spans="1:3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</row>
    <row r="897" spans="1:36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</row>
    <row r="898" spans="1:36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</row>
    <row r="899" spans="1:36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</row>
    <row r="900" spans="1:36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</row>
    <row r="901" spans="1:36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</row>
    <row r="902" spans="1:36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</row>
    <row r="903" spans="1:36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</row>
    <row r="904" spans="1:36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</row>
    <row r="905" spans="1:36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</row>
    <row r="906" spans="1:3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</row>
    <row r="907" spans="1:36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</row>
    <row r="908" spans="1:36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</row>
    <row r="909" spans="1:36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</row>
    <row r="910" spans="1:36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</row>
    <row r="911" spans="1:36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</row>
    <row r="912" spans="1:36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</row>
    <row r="913" spans="1:36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</row>
    <row r="914" spans="1:36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</row>
    <row r="915" spans="1:36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</row>
    <row r="916" spans="1:3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</row>
    <row r="917" spans="1:36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</row>
    <row r="918" spans="1:36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</row>
    <row r="919" spans="1:36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</row>
    <row r="920" spans="1:36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</row>
    <row r="921" spans="1:36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</row>
    <row r="922" spans="1:36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</row>
    <row r="923" spans="1:36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</row>
    <row r="924" spans="1:36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</row>
    <row r="925" spans="1:36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</row>
    <row r="926" spans="1:3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</row>
    <row r="927" spans="1:36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</row>
    <row r="928" spans="1:36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</row>
    <row r="929" spans="1:36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</row>
    <row r="930" spans="1:36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</row>
    <row r="931" spans="1:36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</row>
    <row r="932" spans="1:36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</row>
    <row r="933" spans="1:36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</row>
    <row r="934" spans="1:36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</row>
    <row r="935" spans="1:36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</row>
    <row r="936" spans="1: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</row>
    <row r="937" spans="1:36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</row>
    <row r="938" spans="1:36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</row>
    <row r="939" spans="1:36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</row>
    <row r="940" spans="1:36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</row>
    <row r="941" spans="1:36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</row>
    <row r="942" spans="1:36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</row>
    <row r="943" spans="1:36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</row>
    <row r="944" spans="1:36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</row>
    <row r="945" spans="1:36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</row>
    <row r="946" spans="1:3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</row>
    <row r="947" spans="1:36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</row>
    <row r="948" spans="1:36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</row>
    <row r="949" spans="1:36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</row>
    <row r="950" spans="1:36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</row>
    <row r="951" spans="1:36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</row>
    <row r="952" spans="1:36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</row>
    <row r="953" spans="1:36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</row>
    <row r="954" spans="1:36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</row>
    <row r="955" spans="1:36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</row>
    <row r="956" spans="1:3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</row>
    <row r="957" spans="1:36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</row>
    <row r="958" spans="1:36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</row>
    <row r="959" spans="1:36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</row>
    <row r="960" spans="1:36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</row>
    <row r="961" spans="1:36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</row>
    <row r="962" spans="1:36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</row>
    <row r="963" spans="1:36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</row>
    <row r="964" spans="1:36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</row>
    <row r="965" spans="1:36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</row>
    <row r="966" spans="1:3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</row>
    <row r="967" spans="1:36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</row>
    <row r="968" spans="1:36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</row>
    <row r="969" spans="1:36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</row>
    <row r="970" spans="1:36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</row>
    <row r="971" spans="1:36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</row>
    <row r="972" spans="1:36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</row>
    <row r="973" spans="1:36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</row>
    <row r="974" spans="1:36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</row>
    <row r="975" spans="1:36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</row>
    <row r="976" spans="1:3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</row>
    <row r="977" spans="1:36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</row>
    <row r="978" spans="1:36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</row>
    <row r="979" spans="1:36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</row>
    <row r="980" spans="1:36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</row>
    <row r="981" spans="1:36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</row>
    <row r="982" spans="1:36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</row>
    <row r="983" spans="1:36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</row>
    <row r="984" spans="1:36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</row>
    <row r="985" spans="1:36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</row>
    <row r="986" spans="1:3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</row>
    <row r="987" spans="1:36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</row>
    <row r="988" spans="1:36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</row>
    <row r="989" spans="1:36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</row>
    <row r="990" spans="1:36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</row>
    <row r="991" spans="1:36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</row>
    <row r="992" spans="1:36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</row>
    <row r="993" spans="1:36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</row>
    <row r="994" spans="1:36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</row>
    <row r="995" spans="1:36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</row>
    <row r="996" spans="1:3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</row>
    <row r="997" spans="1:36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</row>
    <row r="998" spans="1:36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</row>
  </sheetData>
  <mergeCells count="14">
    <mergeCell ref="AI1:AI2"/>
    <mergeCell ref="AJ1:AJ2"/>
    <mergeCell ref="A1:A2"/>
    <mergeCell ref="B1:H1"/>
    <mergeCell ref="I1:K1"/>
    <mergeCell ref="L1:O1"/>
    <mergeCell ref="P1:R1"/>
    <mergeCell ref="S1:S2"/>
    <mergeCell ref="T1:W1"/>
    <mergeCell ref="X1:AA1"/>
    <mergeCell ref="AB1:AE1"/>
    <mergeCell ref="AF1:AF2"/>
    <mergeCell ref="AG1:AG2"/>
    <mergeCell ref="AH1:AH2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J24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sheetData>
    <row r="1" spans="1:36" ht="24" customHeight="1">
      <c r="A1" s="68" t="s">
        <v>0</v>
      </c>
      <c r="B1" s="70" t="s">
        <v>1</v>
      </c>
      <c r="C1" s="61"/>
      <c r="D1" s="61"/>
      <c r="E1" s="61"/>
      <c r="F1" s="61"/>
      <c r="G1" s="61"/>
      <c r="H1" s="62"/>
      <c r="I1" s="70" t="s">
        <v>2</v>
      </c>
      <c r="J1" s="61"/>
      <c r="K1" s="62"/>
      <c r="L1" s="70" t="s">
        <v>3</v>
      </c>
      <c r="M1" s="61"/>
      <c r="N1" s="61"/>
      <c r="O1" s="62"/>
      <c r="P1" s="70" t="s">
        <v>4</v>
      </c>
      <c r="Q1" s="61"/>
      <c r="R1" s="62"/>
      <c r="S1" s="71" t="s">
        <v>5</v>
      </c>
      <c r="T1" s="60" t="s">
        <v>6</v>
      </c>
      <c r="U1" s="61"/>
      <c r="V1" s="61"/>
      <c r="W1" s="62"/>
      <c r="X1" s="60" t="s">
        <v>7</v>
      </c>
      <c r="Y1" s="61"/>
      <c r="Z1" s="61"/>
      <c r="AA1" s="62"/>
      <c r="AB1" s="60" t="s">
        <v>8</v>
      </c>
      <c r="AC1" s="61"/>
      <c r="AD1" s="61"/>
      <c r="AE1" s="61"/>
      <c r="AF1" s="63" t="s">
        <v>9</v>
      </c>
      <c r="AG1" s="63" t="s">
        <v>10</v>
      </c>
      <c r="AH1" s="63" t="s">
        <v>11</v>
      </c>
      <c r="AI1" s="65" t="s">
        <v>12</v>
      </c>
      <c r="AJ1" s="66" t="s">
        <v>13</v>
      </c>
    </row>
    <row r="2" spans="1:36" ht="45">
      <c r="A2" s="69"/>
      <c r="B2" s="1" t="s">
        <v>14</v>
      </c>
      <c r="C2" s="1" t="s">
        <v>15</v>
      </c>
      <c r="D2" s="1" t="s">
        <v>16</v>
      </c>
      <c r="E2" s="1" t="s">
        <v>17</v>
      </c>
      <c r="F2" s="2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21</v>
      </c>
      <c r="Q2" s="1" t="s">
        <v>22</v>
      </c>
      <c r="R2" s="1" t="s">
        <v>23</v>
      </c>
      <c r="S2" s="69"/>
      <c r="T2" s="2" t="s">
        <v>28</v>
      </c>
      <c r="U2" s="2" t="s">
        <v>29</v>
      </c>
      <c r="V2" s="2" t="s">
        <v>30</v>
      </c>
      <c r="W2" s="2" t="s">
        <v>31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24</v>
      </c>
      <c r="AC2" s="1" t="s">
        <v>25</v>
      </c>
      <c r="AD2" s="1" t="s">
        <v>26</v>
      </c>
      <c r="AE2" s="3" t="s">
        <v>27</v>
      </c>
      <c r="AF2" s="64"/>
      <c r="AG2" s="64"/>
      <c r="AH2" s="64"/>
      <c r="AI2" s="64"/>
      <c r="AJ2" s="67"/>
    </row>
    <row r="3" spans="1:36" ht="25.5" customHeight="1">
      <c r="A3" s="23" t="s">
        <v>60</v>
      </c>
      <c r="B3" s="23">
        <v>249.75</v>
      </c>
      <c r="C3" s="23">
        <v>94.52</v>
      </c>
      <c r="D3" s="23">
        <v>0.79400000000000004</v>
      </c>
      <c r="E3" s="23">
        <v>0.67200000000000004</v>
      </c>
      <c r="F3" s="23">
        <v>40</v>
      </c>
      <c r="G3" s="5">
        <f t="shared" ref="G3:G23" si="0">(C4-C3)*40</f>
        <v>73.199999999999932</v>
      </c>
      <c r="H3" s="6">
        <f t="shared" ref="H3:H23" si="1">(B4-B3)*40</f>
        <v>344.00000000000091</v>
      </c>
      <c r="I3" s="23">
        <v>76425.5</v>
      </c>
      <c r="J3" s="23">
        <v>0.98699999999999999</v>
      </c>
      <c r="K3" s="7">
        <f t="shared" ref="K3:K23" si="2">(I4-I3)</f>
        <v>6.1799999999930151</v>
      </c>
      <c r="L3" s="23">
        <v>75</v>
      </c>
      <c r="M3" s="8">
        <f t="shared" ref="M3:M23" si="3">(L4-L3)</f>
        <v>0</v>
      </c>
      <c r="N3" s="23">
        <v>506</v>
      </c>
      <c r="O3" s="23">
        <v>0</v>
      </c>
      <c r="P3" s="23">
        <v>127512.84</v>
      </c>
      <c r="Q3" s="23">
        <v>0.91800000000000004</v>
      </c>
      <c r="R3" s="9">
        <f t="shared" ref="R3:R23" si="4">(P4-P3)</f>
        <v>0</v>
      </c>
      <c r="S3" s="10">
        <f t="shared" ref="S3:S23" si="5">(H3+K3+M3+R3)</f>
        <v>350.17999999999392</v>
      </c>
      <c r="T3" s="23">
        <v>64</v>
      </c>
      <c r="U3" s="23">
        <v>73</v>
      </c>
      <c r="V3" s="23">
        <v>62</v>
      </c>
      <c r="W3" s="11">
        <f t="shared" ref="W3:W23" si="6">SUM(T3:V3)</f>
        <v>199</v>
      </c>
      <c r="X3" s="23">
        <v>65.430000000000007</v>
      </c>
      <c r="Y3" s="8">
        <f t="shared" ref="Y3:Y23" si="7">(X4-X3)</f>
        <v>0</v>
      </c>
      <c r="Z3" s="33">
        <v>3012.29</v>
      </c>
      <c r="AA3" s="23">
        <v>0</v>
      </c>
      <c r="AB3" s="23">
        <v>18080</v>
      </c>
      <c r="AC3" s="8">
        <f t="shared" ref="AC3:AC23" si="8">(AB4-AB3)</f>
        <v>0</v>
      </c>
      <c r="AD3" s="23">
        <v>1189.0999999999999</v>
      </c>
      <c r="AE3" s="24">
        <v>0</v>
      </c>
      <c r="AF3" s="14">
        <f t="shared" ref="AF3:AF6" si="9">W3</f>
        <v>199</v>
      </c>
      <c r="AG3" s="15">
        <f t="shared" ref="AG3:AG23" si="10">G3</f>
        <v>73.199999999999932</v>
      </c>
      <c r="AH3" s="16">
        <f t="shared" ref="AH3:AH23" si="11">(AF3-AG3)</f>
        <v>125.80000000000007</v>
      </c>
      <c r="AI3" s="17">
        <f t="shared" ref="AI3:AI23" si="12">(S3+Y3+AC3)</f>
        <v>350.17999999999392</v>
      </c>
      <c r="AJ3" s="18">
        <f t="shared" ref="AJ3:AJ23" si="13">(AH3+AI3)</f>
        <v>475.97999999999399</v>
      </c>
    </row>
    <row r="4" spans="1:36" ht="25.5" customHeight="1">
      <c r="A4" s="23" t="s">
        <v>61</v>
      </c>
      <c r="B4" s="23">
        <v>258.35000000000002</v>
      </c>
      <c r="C4" s="23">
        <v>96.35</v>
      </c>
      <c r="D4" s="23">
        <v>0.79700000000000004</v>
      </c>
      <c r="E4" s="23">
        <v>0.60099999999999998</v>
      </c>
      <c r="F4" s="23">
        <v>40</v>
      </c>
      <c r="G4" s="5">
        <f t="shared" si="0"/>
        <v>46.000000000000227</v>
      </c>
      <c r="H4" s="6">
        <f t="shared" si="1"/>
        <v>189.59999999999809</v>
      </c>
      <c r="I4" s="23">
        <v>76431.679999999993</v>
      </c>
      <c r="J4" s="23">
        <v>0.98699999999999999</v>
      </c>
      <c r="K4" s="7">
        <f t="shared" si="2"/>
        <v>3.9000000000087311</v>
      </c>
      <c r="L4" s="23">
        <v>75</v>
      </c>
      <c r="M4" s="8">
        <f t="shared" si="3"/>
        <v>0</v>
      </c>
      <c r="N4" s="23">
        <v>506</v>
      </c>
      <c r="O4" s="23">
        <v>0</v>
      </c>
      <c r="P4" s="23">
        <v>127512.84</v>
      </c>
      <c r="Q4" s="23">
        <v>0.91800000000000004</v>
      </c>
      <c r="R4" s="9">
        <f t="shared" si="4"/>
        <v>0</v>
      </c>
      <c r="S4" s="10">
        <f t="shared" si="5"/>
        <v>193.50000000000682</v>
      </c>
      <c r="T4" s="23">
        <v>58</v>
      </c>
      <c r="U4" s="23">
        <v>66</v>
      </c>
      <c r="V4" s="23">
        <v>64</v>
      </c>
      <c r="W4" s="11">
        <f t="shared" si="6"/>
        <v>188</v>
      </c>
      <c r="X4" s="23">
        <v>65.430000000000007</v>
      </c>
      <c r="Y4" s="8">
        <f t="shared" si="7"/>
        <v>0</v>
      </c>
      <c r="Z4" s="33">
        <v>3012.29</v>
      </c>
      <c r="AA4" s="23">
        <v>0</v>
      </c>
      <c r="AB4" s="23">
        <v>18080</v>
      </c>
      <c r="AC4" s="8">
        <f t="shared" si="8"/>
        <v>4</v>
      </c>
      <c r="AD4" s="23">
        <v>1189.0999999999999</v>
      </c>
      <c r="AE4" s="24">
        <v>0</v>
      </c>
      <c r="AF4" s="14">
        <f t="shared" si="9"/>
        <v>188</v>
      </c>
      <c r="AG4" s="15">
        <f t="shared" si="10"/>
        <v>46.000000000000227</v>
      </c>
      <c r="AH4" s="16">
        <f t="shared" si="11"/>
        <v>141.99999999999977</v>
      </c>
      <c r="AI4" s="17">
        <f t="shared" si="12"/>
        <v>197.50000000000682</v>
      </c>
      <c r="AJ4" s="18">
        <f t="shared" si="13"/>
        <v>339.50000000000659</v>
      </c>
    </row>
    <row r="5" spans="1:36" ht="25.5" customHeight="1">
      <c r="A5" s="23" t="s">
        <v>62</v>
      </c>
      <c r="B5" s="33">
        <v>263.08999999999997</v>
      </c>
      <c r="C5" s="23">
        <v>97.5</v>
      </c>
      <c r="D5" s="23">
        <v>0.78700000000000003</v>
      </c>
      <c r="E5" s="23">
        <v>0.59199999999999997</v>
      </c>
      <c r="F5" s="23">
        <v>40</v>
      </c>
      <c r="G5" s="5">
        <f t="shared" si="0"/>
        <v>53.999999999999773</v>
      </c>
      <c r="H5" s="6">
        <f t="shared" si="1"/>
        <v>155.60000000000173</v>
      </c>
      <c r="I5" s="23">
        <v>76435.58</v>
      </c>
      <c r="J5" s="23">
        <v>0.98699999999999999</v>
      </c>
      <c r="K5" s="7">
        <f t="shared" si="2"/>
        <v>5.0800000000017462</v>
      </c>
      <c r="L5" s="23">
        <v>75</v>
      </c>
      <c r="M5" s="8">
        <f t="shared" si="3"/>
        <v>0</v>
      </c>
      <c r="N5" s="23">
        <v>506</v>
      </c>
      <c r="O5" s="23">
        <v>0</v>
      </c>
      <c r="P5" s="23">
        <v>127512.84</v>
      </c>
      <c r="Q5" s="23">
        <v>0.91800000000000004</v>
      </c>
      <c r="R5" s="9">
        <f t="shared" si="4"/>
        <v>0</v>
      </c>
      <c r="S5" s="10">
        <f t="shared" si="5"/>
        <v>160.68000000000347</v>
      </c>
      <c r="T5" s="23">
        <v>67</v>
      </c>
      <c r="U5" s="23">
        <v>71</v>
      </c>
      <c r="V5" s="23">
        <v>60</v>
      </c>
      <c r="W5" s="11">
        <f t="shared" si="6"/>
        <v>198</v>
      </c>
      <c r="X5" s="23">
        <v>65.430000000000007</v>
      </c>
      <c r="Y5" s="8">
        <f t="shared" si="7"/>
        <v>0</v>
      </c>
      <c r="Z5" s="33">
        <v>3012.29</v>
      </c>
      <c r="AA5" s="23">
        <v>0</v>
      </c>
      <c r="AB5" s="23">
        <v>18084</v>
      </c>
      <c r="AC5" s="8">
        <f t="shared" si="8"/>
        <v>0</v>
      </c>
      <c r="AD5" s="23">
        <v>1189.5</v>
      </c>
      <c r="AE5" s="24">
        <v>0</v>
      </c>
      <c r="AF5" s="14">
        <f t="shared" si="9"/>
        <v>198</v>
      </c>
      <c r="AG5" s="15">
        <f t="shared" si="10"/>
        <v>53.999999999999773</v>
      </c>
      <c r="AH5" s="16">
        <f t="shared" si="11"/>
        <v>144.00000000000023</v>
      </c>
      <c r="AI5" s="17">
        <f t="shared" si="12"/>
        <v>160.68000000000347</v>
      </c>
      <c r="AJ5" s="18">
        <f t="shared" si="13"/>
        <v>304.6800000000037</v>
      </c>
    </row>
    <row r="6" spans="1:36" ht="25.5" customHeight="1">
      <c r="A6" s="23" t="s">
        <v>63</v>
      </c>
      <c r="B6" s="33">
        <v>266.98</v>
      </c>
      <c r="C6" s="23">
        <v>98.85</v>
      </c>
      <c r="D6" s="23">
        <v>0.78100000000000003</v>
      </c>
      <c r="E6" s="23">
        <v>0.58599999999999997</v>
      </c>
      <c r="F6" s="23">
        <v>40</v>
      </c>
      <c r="G6" s="5">
        <f t="shared" si="0"/>
        <v>60.800000000000409</v>
      </c>
      <c r="H6" s="6">
        <f t="shared" si="1"/>
        <v>145.19999999999982</v>
      </c>
      <c r="I6" s="23">
        <v>76440.66</v>
      </c>
      <c r="J6" s="23">
        <v>0.98699999999999999</v>
      </c>
      <c r="K6" s="7">
        <f t="shared" si="2"/>
        <v>3.8999999999941792</v>
      </c>
      <c r="L6" s="23">
        <v>75</v>
      </c>
      <c r="M6" s="8">
        <f t="shared" si="3"/>
        <v>0</v>
      </c>
      <c r="N6" s="23">
        <v>506</v>
      </c>
      <c r="O6" s="23">
        <v>0</v>
      </c>
      <c r="P6" s="23">
        <v>127512.84</v>
      </c>
      <c r="Q6" s="23">
        <v>0.91800000000000004</v>
      </c>
      <c r="R6" s="9">
        <f t="shared" si="4"/>
        <v>0</v>
      </c>
      <c r="S6" s="10">
        <f t="shared" si="5"/>
        <v>149.099999999994</v>
      </c>
      <c r="T6" s="23">
        <v>58</v>
      </c>
      <c r="U6" s="23">
        <v>63</v>
      </c>
      <c r="V6" s="23">
        <v>55</v>
      </c>
      <c r="W6" s="11">
        <f t="shared" si="6"/>
        <v>176</v>
      </c>
      <c r="X6" s="23">
        <v>65.430000000000007</v>
      </c>
      <c r="Y6" s="8">
        <f t="shared" si="7"/>
        <v>0</v>
      </c>
      <c r="Z6" s="23">
        <v>3012.29</v>
      </c>
      <c r="AA6" s="23">
        <v>0</v>
      </c>
      <c r="AB6" s="23">
        <v>18084</v>
      </c>
      <c r="AC6" s="8">
        <f t="shared" si="8"/>
        <v>24</v>
      </c>
      <c r="AD6" s="23">
        <v>11895</v>
      </c>
      <c r="AE6" s="24">
        <v>0</v>
      </c>
      <c r="AF6" s="14">
        <f t="shared" si="9"/>
        <v>176</v>
      </c>
      <c r="AG6" s="15">
        <f t="shared" si="10"/>
        <v>60.800000000000409</v>
      </c>
      <c r="AH6" s="16">
        <f t="shared" si="11"/>
        <v>115.19999999999959</v>
      </c>
      <c r="AI6" s="17">
        <f t="shared" si="12"/>
        <v>173.099999999994</v>
      </c>
      <c r="AJ6" s="18">
        <f t="shared" si="13"/>
        <v>288.29999999999359</v>
      </c>
    </row>
    <row r="7" spans="1:36" ht="25.5" customHeight="1">
      <c r="A7" s="23" t="s">
        <v>64</v>
      </c>
      <c r="B7" s="23">
        <v>270.61</v>
      </c>
      <c r="C7" s="23">
        <v>100.37</v>
      </c>
      <c r="D7" s="23">
        <v>0.78</v>
      </c>
      <c r="E7" s="23">
        <v>0.59499999999999997</v>
      </c>
      <c r="F7" s="23">
        <v>40</v>
      </c>
      <c r="G7" s="5">
        <f t="shared" si="0"/>
        <v>495.6</v>
      </c>
      <c r="H7" s="6">
        <f t="shared" si="1"/>
        <v>915.19999999999982</v>
      </c>
      <c r="I7" s="23">
        <v>76444.56</v>
      </c>
      <c r="J7" s="23">
        <v>0.98699999999999999</v>
      </c>
      <c r="K7" s="7">
        <f t="shared" si="2"/>
        <v>25.990000000005239</v>
      </c>
      <c r="L7" s="23">
        <v>75</v>
      </c>
      <c r="M7" s="8">
        <f t="shared" si="3"/>
        <v>0</v>
      </c>
      <c r="N7" s="23">
        <v>506</v>
      </c>
      <c r="O7" s="23">
        <v>0</v>
      </c>
      <c r="P7" s="23">
        <v>127512.84</v>
      </c>
      <c r="Q7" s="23">
        <v>0.91800000000000004</v>
      </c>
      <c r="R7" s="9">
        <f t="shared" si="4"/>
        <v>0</v>
      </c>
      <c r="S7" s="10">
        <f t="shared" si="5"/>
        <v>941.19000000000506</v>
      </c>
      <c r="T7" s="23">
        <v>44</v>
      </c>
      <c r="U7" s="23">
        <v>55</v>
      </c>
      <c r="V7" s="23">
        <v>56</v>
      </c>
      <c r="W7" s="11">
        <f t="shared" si="6"/>
        <v>155</v>
      </c>
      <c r="X7" s="23">
        <v>65.430000000000007</v>
      </c>
      <c r="Y7" s="8">
        <f t="shared" si="7"/>
        <v>0</v>
      </c>
      <c r="Z7" s="33">
        <v>3012.29</v>
      </c>
      <c r="AA7" s="23">
        <v>0</v>
      </c>
      <c r="AB7" s="23">
        <v>18108</v>
      </c>
      <c r="AC7" s="8">
        <f t="shared" si="8"/>
        <v>9</v>
      </c>
      <c r="AD7" s="23">
        <v>1192.3</v>
      </c>
      <c r="AE7" s="24">
        <v>0</v>
      </c>
      <c r="AF7" s="34">
        <v>900</v>
      </c>
      <c r="AG7" s="15">
        <f t="shared" si="10"/>
        <v>495.6</v>
      </c>
      <c r="AH7" s="16">
        <f t="shared" si="11"/>
        <v>404.4</v>
      </c>
      <c r="AI7" s="17">
        <f t="shared" si="12"/>
        <v>950.19000000000506</v>
      </c>
      <c r="AJ7" s="18">
        <f t="shared" si="13"/>
        <v>1354.5900000000051</v>
      </c>
    </row>
    <row r="8" spans="1:36" ht="25.5" customHeight="1">
      <c r="A8" s="23" t="s">
        <v>65</v>
      </c>
      <c r="B8" s="23">
        <v>293.49</v>
      </c>
      <c r="C8" s="23">
        <v>112.76</v>
      </c>
      <c r="D8" s="23">
        <v>0.78100000000000003</v>
      </c>
      <c r="E8" s="23">
        <v>0.67100000000000004</v>
      </c>
      <c r="F8" s="23">
        <v>40</v>
      </c>
      <c r="G8" s="5">
        <f t="shared" si="0"/>
        <v>61.999999999999886</v>
      </c>
      <c r="H8" s="6">
        <f t="shared" si="1"/>
        <v>135.59999999999945</v>
      </c>
      <c r="I8" s="23">
        <v>76470.55</v>
      </c>
      <c r="J8" s="23">
        <v>0.98699999999999999</v>
      </c>
      <c r="K8" s="7">
        <f t="shared" si="2"/>
        <v>3.9899999999906868</v>
      </c>
      <c r="L8" s="23">
        <v>75</v>
      </c>
      <c r="M8" s="8">
        <f t="shared" si="3"/>
        <v>0</v>
      </c>
      <c r="N8" s="23">
        <v>506</v>
      </c>
      <c r="O8" s="23">
        <v>0</v>
      </c>
      <c r="P8" s="23">
        <v>127512.84</v>
      </c>
      <c r="Q8" s="23">
        <v>0.91800000000000004</v>
      </c>
      <c r="R8" s="9">
        <f t="shared" si="4"/>
        <v>0</v>
      </c>
      <c r="S8" s="10">
        <f t="shared" si="5"/>
        <v>139.58999999999014</v>
      </c>
      <c r="T8" s="23">
        <v>77</v>
      </c>
      <c r="U8" s="23">
        <v>80</v>
      </c>
      <c r="V8" s="23">
        <v>66</v>
      </c>
      <c r="W8" s="11">
        <f t="shared" si="6"/>
        <v>223</v>
      </c>
      <c r="X8" s="23">
        <v>65.430000000000007</v>
      </c>
      <c r="Y8" s="8">
        <f t="shared" si="7"/>
        <v>0</v>
      </c>
      <c r="Z8" s="23">
        <v>3012.4</v>
      </c>
      <c r="AA8" s="23">
        <v>0</v>
      </c>
      <c r="AB8" s="23">
        <v>18117</v>
      </c>
      <c r="AC8" s="8">
        <f t="shared" si="8"/>
        <v>2</v>
      </c>
      <c r="AD8" s="23">
        <v>1193.5</v>
      </c>
      <c r="AE8" s="24">
        <v>0</v>
      </c>
      <c r="AF8" s="14">
        <f t="shared" ref="AF8:AF23" si="14">W8</f>
        <v>223</v>
      </c>
      <c r="AG8" s="15">
        <f t="shared" si="10"/>
        <v>61.999999999999886</v>
      </c>
      <c r="AH8" s="16">
        <f t="shared" si="11"/>
        <v>161.00000000000011</v>
      </c>
      <c r="AI8" s="17">
        <f t="shared" si="12"/>
        <v>141.58999999999014</v>
      </c>
      <c r="AJ8" s="18">
        <f t="shared" si="13"/>
        <v>302.58999999999025</v>
      </c>
    </row>
    <row r="9" spans="1:36" ht="25.5" customHeight="1">
      <c r="A9" s="23" t="s">
        <v>66</v>
      </c>
      <c r="B9" s="23">
        <v>296.88</v>
      </c>
      <c r="C9" s="23">
        <v>114.31</v>
      </c>
      <c r="D9" s="23">
        <v>0.78100000000000003</v>
      </c>
      <c r="E9" s="23">
        <v>0.65700000000000003</v>
      </c>
      <c r="F9" s="23">
        <v>40</v>
      </c>
      <c r="G9" s="5">
        <f t="shared" si="0"/>
        <v>132.40000000000009</v>
      </c>
      <c r="H9" s="6">
        <f t="shared" si="1"/>
        <v>107.59999999999991</v>
      </c>
      <c r="I9" s="23">
        <v>76474.539999999994</v>
      </c>
      <c r="J9" s="23">
        <v>0.98699999999999999</v>
      </c>
      <c r="K9" s="7">
        <f t="shared" si="2"/>
        <v>5.1200000000098953</v>
      </c>
      <c r="L9" s="23">
        <v>75</v>
      </c>
      <c r="M9" s="8">
        <f t="shared" si="3"/>
        <v>0</v>
      </c>
      <c r="N9" s="23">
        <v>506</v>
      </c>
      <c r="O9" s="23">
        <v>0</v>
      </c>
      <c r="P9" s="23">
        <v>127512.84</v>
      </c>
      <c r="Q9" s="23">
        <v>0.91800000000000004</v>
      </c>
      <c r="R9" s="9">
        <f t="shared" si="4"/>
        <v>0</v>
      </c>
      <c r="S9" s="10">
        <f t="shared" si="5"/>
        <v>112.7200000000098</v>
      </c>
      <c r="T9" s="23">
        <v>81</v>
      </c>
      <c r="U9" s="23">
        <v>86</v>
      </c>
      <c r="V9" s="23">
        <v>68</v>
      </c>
      <c r="W9" s="11">
        <f t="shared" si="6"/>
        <v>235</v>
      </c>
      <c r="X9" s="23">
        <v>65.430000000000007</v>
      </c>
      <c r="Y9" s="8">
        <f t="shared" si="7"/>
        <v>0</v>
      </c>
      <c r="Z9" s="23">
        <v>3012.48</v>
      </c>
      <c r="AA9" s="23">
        <v>0</v>
      </c>
      <c r="AB9" s="23">
        <v>18119</v>
      </c>
      <c r="AC9" s="8">
        <f t="shared" si="8"/>
        <v>4</v>
      </c>
      <c r="AD9" s="23">
        <v>1193.8</v>
      </c>
      <c r="AE9" s="24">
        <v>0</v>
      </c>
      <c r="AF9" s="14">
        <f t="shared" si="14"/>
        <v>235</v>
      </c>
      <c r="AG9" s="15">
        <f t="shared" si="10"/>
        <v>132.40000000000009</v>
      </c>
      <c r="AH9" s="16">
        <f t="shared" si="11"/>
        <v>102.59999999999991</v>
      </c>
      <c r="AI9" s="17">
        <f t="shared" si="12"/>
        <v>116.7200000000098</v>
      </c>
      <c r="AJ9" s="18">
        <f t="shared" si="13"/>
        <v>219.32000000000971</v>
      </c>
    </row>
    <row r="10" spans="1:36" ht="25.5" customHeight="1">
      <c r="A10" s="23" t="s">
        <v>67</v>
      </c>
      <c r="B10" s="23">
        <v>299.57</v>
      </c>
      <c r="C10" s="23">
        <v>117.62</v>
      </c>
      <c r="D10" s="23">
        <v>0.78500000000000003</v>
      </c>
      <c r="E10" s="23">
        <v>0.67300000000000004</v>
      </c>
      <c r="F10" s="23">
        <v>40</v>
      </c>
      <c r="G10" s="5">
        <f t="shared" si="0"/>
        <v>64.399999999999977</v>
      </c>
      <c r="H10" s="6">
        <f t="shared" si="1"/>
        <v>224.40000000000055</v>
      </c>
      <c r="I10" s="23">
        <v>76479.66</v>
      </c>
      <c r="J10" s="23">
        <v>0.98699999999999999</v>
      </c>
      <c r="K10" s="7">
        <f t="shared" si="2"/>
        <v>4.4199999999982538</v>
      </c>
      <c r="L10" s="23">
        <v>75</v>
      </c>
      <c r="M10" s="8">
        <f t="shared" si="3"/>
        <v>0</v>
      </c>
      <c r="N10" s="23">
        <v>506</v>
      </c>
      <c r="O10" s="23">
        <v>0</v>
      </c>
      <c r="P10" s="23">
        <v>127512.84</v>
      </c>
      <c r="Q10" s="23">
        <v>0.91800000000000004</v>
      </c>
      <c r="R10" s="9">
        <f t="shared" si="4"/>
        <v>0</v>
      </c>
      <c r="S10" s="10">
        <f t="shared" si="5"/>
        <v>228.8199999999988</v>
      </c>
      <c r="T10" s="23">
        <v>89</v>
      </c>
      <c r="U10" s="23">
        <v>91</v>
      </c>
      <c r="V10" s="23">
        <v>75</v>
      </c>
      <c r="W10" s="11">
        <f t="shared" si="6"/>
        <v>255</v>
      </c>
      <c r="X10" s="23">
        <v>65.430000000000007</v>
      </c>
      <c r="Y10" s="8">
        <f t="shared" si="7"/>
        <v>0</v>
      </c>
      <c r="Z10" s="23">
        <v>3012.57</v>
      </c>
      <c r="AA10" s="23">
        <v>0</v>
      </c>
      <c r="AB10" s="23">
        <v>18123</v>
      </c>
      <c r="AC10" s="8">
        <f t="shared" si="8"/>
        <v>1</v>
      </c>
      <c r="AD10" s="23">
        <v>1194.3</v>
      </c>
      <c r="AE10" s="24">
        <v>0</v>
      </c>
      <c r="AF10" s="14">
        <f t="shared" si="14"/>
        <v>255</v>
      </c>
      <c r="AG10" s="15">
        <f t="shared" si="10"/>
        <v>64.399999999999977</v>
      </c>
      <c r="AH10" s="16">
        <f t="shared" si="11"/>
        <v>190.60000000000002</v>
      </c>
      <c r="AI10" s="17">
        <f t="shared" si="12"/>
        <v>229.8199999999988</v>
      </c>
      <c r="AJ10" s="18">
        <f t="shared" si="13"/>
        <v>420.41999999999882</v>
      </c>
    </row>
    <row r="11" spans="1:36" ht="25.5" customHeight="1">
      <c r="A11" s="23" t="s">
        <v>68</v>
      </c>
      <c r="B11" s="23">
        <v>305.18</v>
      </c>
      <c r="C11" s="23">
        <v>119.23</v>
      </c>
      <c r="D11" s="23">
        <v>0.79</v>
      </c>
      <c r="E11" s="23">
        <v>0.66800000000000004</v>
      </c>
      <c r="F11" s="23">
        <v>40</v>
      </c>
      <c r="G11" s="5">
        <f t="shared" si="0"/>
        <v>198.39999999999975</v>
      </c>
      <c r="H11" s="6">
        <f t="shared" si="1"/>
        <v>273.99999999999864</v>
      </c>
      <c r="I11" s="23">
        <v>76484.08</v>
      </c>
      <c r="J11" s="23">
        <v>0.98699999999999999</v>
      </c>
      <c r="K11" s="7">
        <f t="shared" si="2"/>
        <v>8.5800000000017462</v>
      </c>
      <c r="L11" s="23">
        <v>75</v>
      </c>
      <c r="M11" s="8">
        <f t="shared" si="3"/>
        <v>0</v>
      </c>
      <c r="N11" s="23">
        <v>506</v>
      </c>
      <c r="O11" s="23">
        <v>0</v>
      </c>
      <c r="P11" s="23">
        <v>127512.84</v>
      </c>
      <c r="Q11" s="23">
        <v>0.91800000000000004</v>
      </c>
      <c r="R11" s="9">
        <f t="shared" si="4"/>
        <v>0</v>
      </c>
      <c r="S11" s="10">
        <f t="shared" si="5"/>
        <v>282.58000000000038</v>
      </c>
      <c r="T11" s="23">
        <v>90</v>
      </c>
      <c r="U11" s="23">
        <v>93</v>
      </c>
      <c r="V11" s="23">
        <v>73</v>
      </c>
      <c r="W11" s="11">
        <f t="shared" si="6"/>
        <v>256</v>
      </c>
      <c r="X11" s="23">
        <v>65.430000000000007</v>
      </c>
      <c r="Y11" s="8">
        <f t="shared" si="7"/>
        <v>0</v>
      </c>
      <c r="Z11" s="23">
        <v>3012.64</v>
      </c>
      <c r="AA11" s="23">
        <v>0</v>
      </c>
      <c r="AB11" s="23">
        <v>18124</v>
      </c>
      <c r="AC11" s="8">
        <f t="shared" si="8"/>
        <v>0</v>
      </c>
      <c r="AD11" s="23">
        <v>1194.5</v>
      </c>
      <c r="AE11" s="24">
        <v>0</v>
      </c>
      <c r="AF11" s="14">
        <f t="shared" si="14"/>
        <v>256</v>
      </c>
      <c r="AG11" s="15">
        <f t="shared" si="10"/>
        <v>198.39999999999975</v>
      </c>
      <c r="AH11" s="16">
        <f t="shared" si="11"/>
        <v>57.60000000000025</v>
      </c>
      <c r="AI11" s="17">
        <f t="shared" si="12"/>
        <v>282.58000000000038</v>
      </c>
      <c r="AJ11" s="18">
        <f t="shared" si="13"/>
        <v>340.18000000000063</v>
      </c>
    </row>
    <row r="12" spans="1:36" ht="25.5" customHeight="1">
      <c r="A12" s="23" t="s">
        <v>69</v>
      </c>
      <c r="B12" s="23">
        <v>312.02999999999997</v>
      </c>
      <c r="C12" s="23">
        <v>124.19</v>
      </c>
      <c r="D12" s="23">
        <v>0.79400000000000004</v>
      </c>
      <c r="E12" s="23">
        <v>0.67800000000000005</v>
      </c>
      <c r="F12" s="23">
        <v>40</v>
      </c>
      <c r="G12" s="5">
        <f t="shared" si="0"/>
        <v>108.40000000000032</v>
      </c>
      <c r="H12" s="6">
        <f t="shared" si="1"/>
        <v>164.40000000000055</v>
      </c>
      <c r="I12" s="23">
        <v>76492.66</v>
      </c>
      <c r="J12" s="23">
        <v>0.98699999999999999</v>
      </c>
      <c r="K12" s="7">
        <f t="shared" si="2"/>
        <v>3.9400000000023283</v>
      </c>
      <c r="L12" s="23">
        <v>75</v>
      </c>
      <c r="M12" s="8">
        <f t="shared" si="3"/>
        <v>0</v>
      </c>
      <c r="N12" s="23">
        <v>506</v>
      </c>
      <c r="O12" s="23">
        <v>0</v>
      </c>
      <c r="P12" s="23">
        <v>127512.84</v>
      </c>
      <c r="Q12" s="23">
        <v>0.91800000000000004</v>
      </c>
      <c r="R12" s="9">
        <f t="shared" si="4"/>
        <v>0</v>
      </c>
      <c r="S12" s="10">
        <f t="shared" si="5"/>
        <v>168.34000000000287</v>
      </c>
      <c r="T12" s="23">
        <v>96</v>
      </c>
      <c r="U12" s="23">
        <v>101</v>
      </c>
      <c r="V12" s="23">
        <v>84</v>
      </c>
      <c r="W12" s="11">
        <f t="shared" si="6"/>
        <v>281</v>
      </c>
      <c r="X12" s="23">
        <v>65.430000000000007</v>
      </c>
      <c r="Y12" s="8">
        <f t="shared" si="7"/>
        <v>0</v>
      </c>
      <c r="Z12" s="23">
        <v>3012.72</v>
      </c>
      <c r="AA12" s="23">
        <v>0</v>
      </c>
      <c r="AB12" s="23">
        <v>18124</v>
      </c>
      <c r="AC12" s="8">
        <f t="shared" si="8"/>
        <v>1</v>
      </c>
      <c r="AD12" s="23">
        <v>1194.5</v>
      </c>
      <c r="AE12" s="24">
        <v>0</v>
      </c>
      <c r="AF12" s="14">
        <f t="shared" si="14"/>
        <v>281</v>
      </c>
      <c r="AG12" s="15">
        <f t="shared" si="10"/>
        <v>108.40000000000032</v>
      </c>
      <c r="AH12" s="16">
        <f t="shared" si="11"/>
        <v>172.59999999999968</v>
      </c>
      <c r="AI12" s="17">
        <f t="shared" si="12"/>
        <v>169.34000000000287</v>
      </c>
      <c r="AJ12" s="18">
        <f t="shared" si="13"/>
        <v>341.94000000000256</v>
      </c>
    </row>
    <row r="13" spans="1:36" ht="25.5" customHeight="1">
      <c r="A13" s="23" t="s">
        <v>70</v>
      </c>
      <c r="B13" s="23">
        <v>316.14</v>
      </c>
      <c r="C13" s="23">
        <v>126.9</v>
      </c>
      <c r="D13" s="23">
        <v>0.79600000000000004</v>
      </c>
      <c r="E13" s="23">
        <v>0.67200000000000004</v>
      </c>
      <c r="F13" s="23">
        <v>40</v>
      </c>
      <c r="G13" s="5">
        <f t="shared" si="0"/>
        <v>81.599999999999682</v>
      </c>
      <c r="H13" s="6">
        <f t="shared" si="1"/>
        <v>209.20000000000073</v>
      </c>
      <c r="I13" s="23">
        <v>76496.600000000006</v>
      </c>
      <c r="J13" s="23">
        <v>0.98699999999999999</v>
      </c>
      <c r="K13" s="7">
        <f t="shared" si="2"/>
        <v>4.0599999999976717</v>
      </c>
      <c r="L13" s="23">
        <v>75</v>
      </c>
      <c r="M13" s="8">
        <f t="shared" si="3"/>
        <v>0</v>
      </c>
      <c r="N13" s="23">
        <v>506</v>
      </c>
      <c r="O13" s="23">
        <v>0</v>
      </c>
      <c r="P13" s="23">
        <v>127512.84</v>
      </c>
      <c r="Q13" s="23">
        <v>0.91800000000000004</v>
      </c>
      <c r="R13" s="9">
        <f t="shared" si="4"/>
        <v>0</v>
      </c>
      <c r="S13" s="10">
        <f t="shared" si="5"/>
        <v>213.2599999999984</v>
      </c>
      <c r="T13" s="23">
        <v>75</v>
      </c>
      <c r="U13" s="23">
        <v>86</v>
      </c>
      <c r="V13" s="23">
        <v>78</v>
      </c>
      <c r="W13" s="11">
        <f t="shared" si="6"/>
        <v>239</v>
      </c>
      <c r="X13" s="23">
        <v>65.430000000000007</v>
      </c>
      <c r="Y13" s="8">
        <f t="shared" si="7"/>
        <v>0</v>
      </c>
      <c r="Z13" s="23">
        <v>3012.72</v>
      </c>
      <c r="AA13" s="23">
        <v>0</v>
      </c>
      <c r="AB13" s="23">
        <v>18125</v>
      </c>
      <c r="AC13" s="8">
        <f t="shared" si="8"/>
        <v>1</v>
      </c>
      <c r="AD13" s="23">
        <v>1194.8</v>
      </c>
      <c r="AE13" s="24">
        <v>0</v>
      </c>
      <c r="AF13" s="14">
        <f t="shared" si="14"/>
        <v>239</v>
      </c>
      <c r="AG13" s="15">
        <f t="shared" si="10"/>
        <v>81.599999999999682</v>
      </c>
      <c r="AH13" s="16">
        <f t="shared" si="11"/>
        <v>157.40000000000032</v>
      </c>
      <c r="AI13" s="17">
        <f t="shared" si="12"/>
        <v>214.2599999999984</v>
      </c>
      <c r="AJ13" s="18">
        <f t="shared" si="13"/>
        <v>371.65999999999872</v>
      </c>
    </row>
    <row r="14" spans="1:36" ht="25.5" customHeight="1">
      <c r="A14" s="23" t="s">
        <v>71</v>
      </c>
      <c r="B14" s="23">
        <v>321.37</v>
      </c>
      <c r="C14" s="23">
        <v>128.94</v>
      </c>
      <c r="D14" s="23">
        <v>0.79800000000000004</v>
      </c>
      <c r="E14" s="23">
        <v>0.67800000000000005</v>
      </c>
      <c r="F14" s="23">
        <v>40</v>
      </c>
      <c r="G14" s="5">
        <f t="shared" si="0"/>
        <v>157.99999999999955</v>
      </c>
      <c r="H14" s="6">
        <f t="shared" si="1"/>
        <v>334.00000000000091</v>
      </c>
      <c r="I14" s="23">
        <v>76500.66</v>
      </c>
      <c r="J14" s="23">
        <v>0.98699999999999999</v>
      </c>
      <c r="K14" s="7">
        <f t="shared" si="2"/>
        <v>2.9400000000023283</v>
      </c>
      <c r="L14" s="23">
        <v>75</v>
      </c>
      <c r="M14" s="8">
        <f t="shared" si="3"/>
        <v>0</v>
      </c>
      <c r="N14" s="23">
        <v>506</v>
      </c>
      <c r="O14" s="23">
        <v>0</v>
      </c>
      <c r="P14" s="23">
        <v>127512.84</v>
      </c>
      <c r="Q14" s="23">
        <v>0.91800000000000004</v>
      </c>
      <c r="R14" s="9">
        <f t="shared" si="4"/>
        <v>0</v>
      </c>
      <c r="S14" s="10">
        <f t="shared" si="5"/>
        <v>336.94000000000324</v>
      </c>
      <c r="T14" s="23">
        <v>90</v>
      </c>
      <c r="U14" s="23">
        <v>91</v>
      </c>
      <c r="V14" s="23">
        <v>75</v>
      </c>
      <c r="W14" s="11">
        <f t="shared" si="6"/>
        <v>256</v>
      </c>
      <c r="X14" s="23">
        <v>65.430000000000007</v>
      </c>
      <c r="Y14" s="8">
        <f t="shared" si="7"/>
        <v>0</v>
      </c>
      <c r="Z14" s="23">
        <v>3012.74</v>
      </c>
      <c r="AA14" s="23">
        <v>0</v>
      </c>
      <c r="AB14" s="23">
        <v>18126</v>
      </c>
      <c r="AC14" s="8">
        <f t="shared" si="8"/>
        <v>16</v>
      </c>
      <c r="AD14" s="23">
        <v>1194.9000000000001</v>
      </c>
      <c r="AE14" s="24">
        <v>0</v>
      </c>
      <c r="AF14" s="14">
        <f t="shared" si="14"/>
        <v>256</v>
      </c>
      <c r="AG14" s="15">
        <f t="shared" si="10"/>
        <v>157.99999999999955</v>
      </c>
      <c r="AH14" s="16">
        <f t="shared" si="11"/>
        <v>98.000000000000455</v>
      </c>
      <c r="AI14" s="17">
        <f t="shared" si="12"/>
        <v>352.94000000000324</v>
      </c>
      <c r="AJ14" s="18">
        <f t="shared" si="13"/>
        <v>450.94000000000369</v>
      </c>
    </row>
    <row r="15" spans="1:36" ht="25.5" customHeight="1">
      <c r="A15" s="23" t="s">
        <v>72</v>
      </c>
      <c r="B15" s="23">
        <v>329.72</v>
      </c>
      <c r="C15" s="23">
        <v>132.88999999999999</v>
      </c>
      <c r="D15" s="23">
        <v>0.79900000000000004</v>
      </c>
      <c r="E15" s="23">
        <v>0.67600000000000005</v>
      </c>
      <c r="F15" s="23">
        <v>40</v>
      </c>
      <c r="G15" s="5">
        <f t="shared" si="0"/>
        <v>1.6000000000008185</v>
      </c>
      <c r="H15" s="6">
        <f t="shared" si="1"/>
        <v>222.39999999999782</v>
      </c>
      <c r="I15" s="23">
        <v>76503.600000000006</v>
      </c>
      <c r="J15" s="23">
        <v>0.98699999999999999</v>
      </c>
      <c r="K15" s="7">
        <f t="shared" si="2"/>
        <v>2.8999999999941792</v>
      </c>
      <c r="L15" s="23">
        <v>75</v>
      </c>
      <c r="M15" s="8">
        <f t="shared" si="3"/>
        <v>0</v>
      </c>
      <c r="N15" s="23">
        <v>506</v>
      </c>
      <c r="O15" s="23">
        <v>0</v>
      </c>
      <c r="P15" s="23">
        <v>127512.84</v>
      </c>
      <c r="Q15" s="23">
        <v>0.91800000000000004</v>
      </c>
      <c r="R15" s="9">
        <f t="shared" si="4"/>
        <v>0</v>
      </c>
      <c r="S15" s="10">
        <f t="shared" si="5"/>
        <v>225.299999999992</v>
      </c>
      <c r="T15" s="23">
        <v>89</v>
      </c>
      <c r="U15" s="23">
        <v>95</v>
      </c>
      <c r="V15" s="23">
        <v>78</v>
      </c>
      <c r="W15" s="11">
        <f t="shared" si="6"/>
        <v>262</v>
      </c>
      <c r="X15" s="23">
        <v>65.430000000000007</v>
      </c>
      <c r="Y15" s="8">
        <f t="shared" si="7"/>
        <v>9.9999999999909051E-3</v>
      </c>
      <c r="Z15" s="23">
        <v>3012.85</v>
      </c>
      <c r="AA15" s="23">
        <v>0</v>
      </c>
      <c r="AB15" s="23">
        <v>18142</v>
      </c>
      <c r="AC15" s="8">
        <f t="shared" si="8"/>
        <v>27</v>
      </c>
      <c r="AD15" s="23">
        <v>1197.4000000000001</v>
      </c>
      <c r="AE15" s="24">
        <v>50</v>
      </c>
      <c r="AF15" s="14">
        <f t="shared" si="14"/>
        <v>262</v>
      </c>
      <c r="AG15" s="15">
        <f t="shared" si="10"/>
        <v>1.6000000000008185</v>
      </c>
      <c r="AH15" s="16">
        <f t="shared" si="11"/>
        <v>260.39999999999918</v>
      </c>
      <c r="AI15" s="17">
        <f t="shared" si="12"/>
        <v>252.30999999999199</v>
      </c>
      <c r="AJ15" s="18">
        <f t="shared" si="13"/>
        <v>512.70999999999117</v>
      </c>
    </row>
    <row r="16" spans="1:36" ht="25.5" customHeight="1">
      <c r="A16" s="23" t="s">
        <v>73</v>
      </c>
      <c r="B16" s="23">
        <v>335.28</v>
      </c>
      <c r="C16" s="23">
        <v>132.93</v>
      </c>
      <c r="D16" s="23">
        <v>0.8</v>
      </c>
      <c r="E16" s="23">
        <v>0.67400000000000004</v>
      </c>
      <c r="F16" s="23">
        <v>40</v>
      </c>
      <c r="G16" s="5">
        <f t="shared" si="0"/>
        <v>3.9999999999997726</v>
      </c>
      <c r="H16" s="6">
        <f t="shared" si="1"/>
        <v>303.20000000000164</v>
      </c>
      <c r="I16" s="23">
        <v>76506.5</v>
      </c>
      <c r="J16" s="23">
        <v>0.98699999999999999</v>
      </c>
      <c r="K16" s="7">
        <f t="shared" si="2"/>
        <v>4.1000000000058208</v>
      </c>
      <c r="L16" s="23">
        <v>75</v>
      </c>
      <c r="M16" s="8">
        <f t="shared" si="3"/>
        <v>0</v>
      </c>
      <c r="N16" s="23">
        <v>506</v>
      </c>
      <c r="O16" s="23">
        <v>0</v>
      </c>
      <c r="P16" s="23">
        <v>127512.84</v>
      </c>
      <c r="Q16" s="23">
        <v>0.91800000000000004</v>
      </c>
      <c r="R16" s="9">
        <f t="shared" si="4"/>
        <v>0</v>
      </c>
      <c r="S16" s="10">
        <f t="shared" si="5"/>
        <v>307.30000000000746</v>
      </c>
      <c r="T16" s="23">
        <v>66</v>
      </c>
      <c r="U16" s="23">
        <v>65</v>
      </c>
      <c r="V16" s="23">
        <v>55</v>
      </c>
      <c r="W16" s="11">
        <f t="shared" si="6"/>
        <v>186</v>
      </c>
      <c r="X16" s="23">
        <v>65.44</v>
      </c>
      <c r="Y16" s="8">
        <f t="shared" si="7"/>
        <v>0</v>
      </c>
      <c r="Z16" s="23">
        <v>3014.24</v>
      </c>
      <c r="AA16" s="23">
        <v>0</v>
      </c>
      <c r="AB16" s="23">
        <v>18169</v>
      </c>
      <c r="AC16" s="8">
        <f t="shared" si="8"/>
        <v>0</v>
      </c>
      <c r="AD16" s="23">
        <v>1199.9000000000001</v>
      </c>
      <c r="AE16" s="24">
        <v>0</v>
      </c>
      <c r="AF16" s="14">
        <f t="shared" si="14"/>
        <v>186</v>
      </c>
      <c r="AG16" s="15">
        <f t="shared" si="10"/>
        <v>3.9999999999997726</v>
      </c>
      <c r="AH16" s="16">
        <f t="shared" si="11"/>
        <v>182.00000000000023</v>
      </c>
      <c r="AI16" s="17">
        <f t="shared" si="12"/>
        <v>307.30000000000746</v>
      </c>
      <c r="AJ16" s="18">
        <f t="shared" si="13"/>
        <v>489.30000000000769</v>
      </c>
    </row>
    <row r="17" spans="1:36" ht="25.5" customHeight="1">
      <c r="A17" s="23" t="s">
        <v>74</v>
      </c>
      <c r="B17" s="23">
        <v>342.86</v>
      </c>
      <c r="C17" s="23">
        <v>133.03</v>
      </c>
      <c r="D17" s="23">
        <v>0.80800000000000005</v>
      </c>
      <c r="E17" s="23">
        <v>0.68400000000000005</v>
      </c>
      <c r="F17" s="23">
        <v>40</v>
      </c>
      <c r="G17" s="5">
        <f t="shared" si="0"/>
        <v>9.1999999999995907</v>
      </c>
      <c r="H17" s="6">
        <f t="shared" si="1"/>
        <v>207.59999999999991</v>
      </c>
      <c r="I17" s="23">
        <v>76510.600000000006</v>
      </c>
      <c r="J17" s="23">
        <v>0.98699999999999999</v>
      </c>
      <c r="K17" s="7">
        <f t="shared" si="2"/>
        <v>3</v>
      </c>
      <c r="L17" s="23">
        <v>75</v>
      </c>
      <c r="M17" s="8">
        <f t="shared" si="3"/>
        <v>0</v>
      </c>
      <c r="N17" s="23">
        <v>506</v>
      </c>
      <c r="O17" s="23">
        <v>0</v>
      </c>
      <c r="P17" s="23">
        <v>127512.84</v>
      </c>
      <c r="Q17" s="23">
        <v>0.91800000000000004</v>
      </c>
      <c r="R17" s="9">
        <f t="shared" si="4"/>
        <v>0</v>
      </c>
      <c r="S17" s="10">
        <f t="shared" si="5"/>
        <v>210.59999999999991</v>
      </c>
      <c r="T17" s="23">
        <v>31</v>
      </c>
      <c r="U17" s="23">
        <v>35</v>
      </c>
      <c r="V17" s="23">
        <v>37</v>
      </c>
      <c r="W17" s="11">
        <f t="shared" si="6"/>
        <v>103</v>
      </c>
      <c r="X17" s="23">
        <v>65.44</v>
      </c>
      <c r="Y17" s="8">
        <f t="shared" si="7"/>
        <v>0</v>
      </c>
      <c r="Z17" s="23">
        <v>3014.24</v>
      </c>
      <c r="AA17" s="23">
        <v>0</v>
      </c>
      <c r="AB17" s="23">
        <v>18169</v>
      </c>
      <c r="AC17" s="8">
        <f t="shared" si="8"/>
        <v>2</v>
      </c>
      <c r="AD17" s="23">
        <v>1199.9000000000001</v>
      </c>
      <c r="AE17" s="24">
        <v>0</v>
      </c>
      <c r="AF17" s="14">
        <f t="shared" si="14"/>
        <v>103</v>
      </c>
      <c r="AG17" s="15">
        <f t="shared" si="10"/>
        <v>9.1999999999995907</v>
      </c>
      <c r="AH17" s="16">
        <f t="shared" si="11"/>
        <v>93.800000000000409</v>
      </c>
      <c r="AI17" s="17">
        <f t="shared" si="12"/>
        <v>212.59999999999991</v>
      </c>
      <c r="AJ17" s="18">
        <f t="shared" si="13"/>
        <v>306.40000000000032</v>
      </c>
    </row>
    <row r="18" spans="1:36" ht="25.5" customHeight="1">
      <c r="A18" s="23" t="s">
        <v>75</v>
      </c>
      <c r="B18" s="23">
        <v>348.05</v>
      </c>
      <c r="C18" s="23">
        <v>133.26</v>
      </c>
      <c r="D18" s="23">
        <v>0.80400000000000005</v>
      </c>
      <c r="E18" s="23">
        <v>0.68200000000000005</v>
      </c>
      <c r="F18" s="23">
        <v>40</v>
      </c>
      <c r="G18" s="5">
        <f t="shared" si="0"/>
        <v>17.599999999999909</v>
      </c>
      <c r="H18" s="6">
        <f t="shared" si="1"/>
        <v>223.599999999999</v>
      </c>
      <c r="I18" s="23">
        <v>76513.600000000006</v>
      </c>
      <c r="J18" s="23">
        <v>0.91800000000000004</v>
      </c>
      <c r="K18" s="7">
        <f t="shared" si="2"/>
        <v>3.2399999999906868</v>
      </c>
      <c r="L18" s="23">
        <v>75</v>
      </c>
      <c r="M18" s="8">
        <f t="shared" si="3"/>
        <v>0</v>
      </c>
      <c r="N18" s="23">
        <v>506</v>
      </c>
      <c r="O18" s="23">
        <v>0</v>
      </c>
      <c r="P18" s="23">
        <v>127512.84</v>
      </c>
      <c r="Q18" s="23">
        <v>0.91800000000000004</v>
      </c>
      <c r="R18" s="9">
        <f t="shared" si="4"/>
        <v>0</v>
      </c>
      <c r="S18" s="10">
        <f t="shared" si="5"/>
        <v>226.83999999998969</v>
      </c>
      <c r="T18" s="23">
        <v>30</v>
      </c>
      <c r="U18" s="23">
        <v>33</v>
      </c>
      <c r="V18" s="23">
        <v>33</v>
      </c>
      <c r="W18" s="11">
        <f t="shared" si="6"/>
        <v>96</v>
      </c>
      <c r="X18" s="23">
        <v>65.44</v>
      </c>
      <c r="Y18" s="8">
        <f t="shared" si="7"/>
        <v>0</v>
      </c>
      <c r="Z18" s="23">
        <v>3014.29</v>
      </c>
      <c r="AA18" s="23">
        <v>0</v>
      </c>
      <c r="AB18" s="23">
        <v>18171</v>
      </c>
      <c r="AC18" s="8">
        <f t="shared" si="8"/>
        <v>0</v>
      </c>
      <c r="AD18" s="23">
        <v>1200.8</v>
      </c>
      <c r="AE18" s="24">
        <v>0</v>
      </c>
      <c r="AF18" s="14">
        <f t="shared" si="14"/>
        <v>96</v>
      </c>
      <c r="AG18" s="15">
        <f t="shared" si="10"/>
        <v>17.599999999999909</v>
      </c>
      <c r="AH18" s="16">
        <f t="shared" si="11"/>
        <v>78.400000000000091</v>
      </c>
      <c r="AI18" s="17">
        <f t="shared" si="12"/>
        <v>226.83999999998969</v>
      </c>
      <c r="AJ18" s="18">
        <f t="shared" si="13"/>
        <v>305.23999999998978</v>
      </c>
    </row>
    <row r="19" spans="1:36" ht="25.5" customHeight="1">
      <c r="A19" s="23" t="s">
        <v>76</v>
      </c>
      <c r="B19" s="23">
        <v>353.64</v>
      </c>
      <c r="C19" s="23">
        <v>133.69999999999999</v>
      </c>
      <c r="D19" s="23">
        <v>0.80400000000000005</v>
      </c>
      <c r="E19" s="23">
        <v>0.68</v>
      </c>
      <c r="F19" s="23">
        <v>40</v>
      </c>
      <c r="G19" s="5">
        <f t="shared" si="0"/>
        <v>33.2000000000005</v>
      </c>
      <c r="H19" s="6">
        <f t="shared" si="1"/>
        <v>216.400000000001</v>
      </c>
      <c r="I19" s="23">
        <v>76516.84</v>
      </c>
      <c r="J19" s="23">
        <v>0.91800000000000004</v>
      </c>
      <c r="K19" s="7">
        <f t="shared" si="2"/>
        <v>3.9600000000064028</v>
      </c>
      <c r="L19" s="23">
        <v>75</v>
      </c>
      <c r="M19" s="8">
        <f t="shared" si="3"/>
        <v>0</v>
      </c>
      <c r="N19" s="23">
        <v>506</v>
      </c>
      <c r="O19" s="23">
        <v>0</v>
      </c>
      <c r="P19" s="23">
        <v>127512.84</v>
      </c>
      <c r="Q19" s="23">
        <v>0.91800000000000004</v>
      </c>
      <c r="R19" s="9">
        <f t="shared" si="4"/>
        <v>0</v>
      </c>
      <c r="S19" s="10">
        <f t="shared" si="5"/>
        <v>220.3600000000074</v>
      </c>
      <c r="T19" s="23">
        <v>35</v>
      </c>
      <c r="U19" s="23">
        <v>38</v>
      </c>
      <c r="V19" s="23">
        <v>34</v>
      </c>
      <c r="W19" s="11">
        <f t="shared" si="6"/>
        <v>107</v>
      </c>
      <c r="X19" s="23">
        <v>65.44</v>
      </c>
      <c r="Y19" s="8">
        <f t="shared" si="7"/>
        <v>0</v>
      </c>
      <c r="Z19" s="23">
        <v>3014.29</v>
      </c>
      <c r="AA19" s="23">
        <v>0</v>
      </c>
      <c r="AB19" s="23">
        <v>18171</v>
      </c>
      <c r="AC19" s="8">
        <f t="shared" si="8"/>
        <v>0</v>
      </c>
      <c r="AD19" s="23">
        <v>1200.8</v>
      </c>
      <c r="AE19" s="24">
        <v>0</v>
      </c>
      <c r="AF19" s="14">
        <f t="shared" si="14"/>
        <v>107</v>
      </c>
      <c r="AG19" s="15">
        <f t="shared" si="10"/>
        <v>33.2000000000005</v>
      </c>
      <c r="AH19" s="16">
        <f t="shared" si="11"/>
        <v>73.7999999999995</v>
      </c>
      <c r="AI19" s="17">
        <f t="shared" si="12"/>
        <v>220.3600000000074</v>
      </c>
      <c r="AJ19" s="18">
        <f t="shared" si="13"/>
        <v>294.1600000000069</v>
      </c>
    </row>
    <row r="20" spans="1:36" ht="25.5" customHeight="1">
      <c r="A20" s="23" t="s">
        <v>77</v>
      </c>
      <c r="B20" s="23">
        <v>359.05</v>
      </c>
      <c r="C20" s="23">
        <v>134.53</v>
      </c>
      <c r="D20" s="23">
        <v>0.8</v>
      </c>
      <c r="E20" s="23">
        <v>0.67300000000000004</v>
      </c>
      <c r="F20" s="23">
        <v>40</v>
      </c>
      <c r="G20" s="5">
        <f t="shared" si="0"/>
        <v>58.400000000000318</v>
      </c>
      <c r="H20" s="6">
        <f t="shared" si="1"/>
        <v>154.80000000000018</v>
      </c>
      <c r="I20" s="23">
        <v>76520.800000000003</v>
      </c>
      <c r="J20" s="23">
        <v>0.91800000000000004</v>
      </c>
      <c r="K20" s="7">
        <f t="shared" si="2"/>
        <v>2.6600000000034925</v>
      </c>
      <c r="L20" s="23">
        <v>75</v>
      </c>
      <c r="M20" s="8">
        <f t="shared" si="3"/>
        <v>0</v>
      </c>
      <c r="N20" s="23">
        <v>506</v>
      </c>
      <c r="O20" s="23">
        <v>0</v>
      </c>
      <c r="P20" s="23">
        <v>127512.84</v>
      </c>
      <c r="Q20" s="23">
        <v>0.91800000000000004</v>
      </c>
      <c r="R20" s="9">
        <f t="shared" si="4"/>
        <v>0</v>
      </c>
      <c r="S20" s="10">
        <f t="shared" si="5"/>
        <v>157.46000000000367</v>
      </c>
      <c r="T20" s="23">
        <v>36</v>
      </c>
      <c r="U20" s="23">
        <v>34</v>
      </c>
      <c r="V20" s="23">
        <v>36</v>
      </c>
      <c r="W20" s="11">
        <f t="shared" si="6"/>
        <v>106</v>
      </c>
      <c r="X20" s="23">
        <v>65.44</v>
      </c>
      <c r="Y20" s="8">
        <f t="shared" si="7"/>
        <v>0</v>
      </c>
      <c r="Z20" s="23">
        <v>3014.3</v>
      </c>
      <c r="AA20" s="23">
        <v>0</v>
      </c>
      <c r="AB20" s="23">
        <v>18171</v>
      </c>
      <c r="AC20" s="8">
        <f t="shared" si="8"/>
        <v>0</v>
      </c>
      <c r="AD20" s="23">
        <v>1200.8</v>
      </c>
      <c r="AE20" s="24">
        <v>0</v>
      </c>
      <c r="AF20" s="14">
        <f t="shared" si="14"/>
        <v>106</v>
      </c>
      <c r="AG20" s="15">
        <f t="shared" si="10"/>
        <v>58.400000000000318</v>
      </c>
      <c r="AH20" s="16">
        <f t="shared" si="11"/>
        <v>47.599999999999682</v>
      </c>
      <c r="AI20" s="17">
        <f t="shared" si="12"/>
        <v>157.46000000000367</v>
      </c>
      <c r="AJ20" s="18">
        <f t="shared" si="13"/>
        <v>205.06000000000336</v>
      </c>
    </row>
    <row r="21" spans="1:36" ht="25.5" customHeight="1">
      <c r="A21" s="23" t="s">
        <v>78</v>
      </c>
      <c r="B21" s="23">
        <v>362.92</v>
      </c>
      <c r="C21" s="23">
        <v>135.99</v>
      </c>
      <c r="D21" s="23">
        <v>0.79700000000000004</v>
      </c>
      <c r="E21" s="23">
        <v>0.67300000000000004</v>
      </c>
      <c r="F21" s="23">
        <v>40</v>
      </c>
      <c r="G21" s="5">
        <f t="shared" si="0"/>
        <v>130.39999999999964</v>
      </c>
      <c r="H21" s="6">
        <f t="shared" si="1"/>
        <v>152.79999999999973</v>
      </c>
      <c r="I21" s="23">
        <v>76523.460000000006</v>
      </c>
      <c r="J21" s="23">
        <v>0.91800000000000004</v>
      </c>
      <c r="K21" s="7">
        <f t="shared" si="2"/>
        <v>3.0199999999895226</v>
      </c>
      <c r="L21" s="23">
        <v>75</v>
      </c>
      <c r="M21" s="8">
        <f t="shared" si="3"/>
        <v>0</v>
      </c>
      <c r="N21" s="23">
        <v>506</v>
      </c>
      <c r="O21" s="23">
        <v>0</v>
      </c>
      <c r="P21" s="23">
        <v>127512.84</v>
      </c>
      <c r="Q21" s="23">
        <v>0.91800000000000004</v>
      </c>
      <c r="R21" s="9">
        <f t="shared" si="4"/>
        <v>0</v>
      </c>
      <c r="S21" s="10">
        <f t="shared" si="5"/>
        <v>155.81999999998925</v>
      </c>
      <c r="T21" s="23">
        <v>90</v>
      </c>
      <c r="U21" s="23">
        <v>93</v>
      </c>
      <c r="V21" s="23">
        <v>73</v>
      </c>
      <c r="W21" s="11">
        <f t="shared" si="6"/>
        <v>256</v>
      </c>
      <c r="X21" s="23">
        <v>65.44</v>
      </c>
      <c r="Y21" s="8">
        <f t="shared" si="7"/>
        <v>0</v>
      </c>
      <c r="Z21" s="23">
        <v>3014.3</v>
      </c>
      <c r="AA21" s="23">
        <v>0</v>
      </c>
      <c r="AB21" s="23">
        <v>18171</v>
      </c>
      <c r="AC21" s="8">
        <f t="shared" si="8"/>
        <v>0</v>
      </c>
      <c r="AD21" s="23">
        <v>1200.8</v>
      </c>
      <c r="AE21" s="24">
        <v>0</v>
      </c>
      <c r="AF21" s="14">
        <f t="shared" si="14"/>
        <v>256</v>
      </c>
      <c r="AG21" s="15">
        <f t="shared" si="10"/>
        <v>130.39999999999964</v>
      </c>
      <c r="AH21" s="16">
        <f t="shared" si="11"/>
        <v>125.60000000000036</v>
      </c>
      <c r="AI21" s="17">
        <f t="shared" si="12"/>
        <v>155.81999999998925</v>
      </c>
      <c r="AJ21" s="18">
        <f t="shared" si="13"/>
        <v>281.41999999998961</v>
      </c>
    </row>
    <row r="22" spans="1:36" ht="25.5" customHeight="1">
      <c r="A22" s="23" t="s">
        <v>79</v>
      </c>
      <c r="B22" s="23">
        <v>366.74</v>
      </c>
      <c r="C22" s="23">
        <v>139.25</v>
      </c>
      <c r="D22" s="23">
        <v>0.79700000000000004</v>
      </c>
      <c r="E22" s="23">
        <v>0.68300000000000005</v>
      </c>
      <c r="F22" s="23">
        <v>40</v>
      </c>
      <c r="G22" s="5">
        <f t="shared" si="0"/>
        <v>172.00000000000045</v>
      </c>
      <c r="H22" s="6">
        <f t="shared" si="1"/>
        <v>255.99999999999909</v>
      </c>
      <c r="I22" s="23">
        <v>76526.48</v>
      </c>
      <c r="J22" s="23">
        <v>0.91800000000000004</v>
      </c>
      <c r="K22" s="7">
        <f t="shared" si="2"/>
        <v>6.7400000000052387</v>
      </c>
      <c r="L22" s="23">
        <v>75</v>
      </c>
      <c r="M22" s="8">
        <f t="shared" si="3"/>
        <v>0</v>
      </c>
      <c r="N22" s="23">
        <v>506</v>
      </c>
      <c r="O22" s="23">
        <v>0</v>
      </c>
      <c r="P22" s="23">
        <v>127512.84</v>
      </c>
      <c r="Q22" s="23">
        <v>0.91800000000000004</v>
      </c>
      <c r="R22" s="9">
        <f t="shared" si="4"/>
        <v>0</v>
      </c>
      <c r="S22" s="10">
        <f t="shared" si="5"/>
        <v>262.74000000000433</v>
      </c>
      <c r="T22" s="23">
        <v>99</v>
      </c>
      <c r="U22" s="23">
        <v>104</v>
      </c>
      <c r="V22" s="23">
        <v>102</v>
      </c>
      <c r="W22" s="11">
        <f t="shared" si="6"/>
        <v>305</v>
      </c>
      <c r="X22" s="23">
        <v>65.44</v>
      </c>
      <c r="Y22" s="8">
        <f t="shared" si="7"/>
        <v>0</v>
      </c>
      <c r="Z22" s="23">
        <v>3014.3</v>
      </c>
      <c r="AA22" s="23">
        <v>0</v>
      </c>
      <c r="AB22" s="23">
        <v>18171</v>
      </c>
      <c r="AC22" s="8">
        <f t="shared" si="8"/>
        <v>0</v>
      </c>
      <c r="AD22" s="23">
        <v>1200.8</v>
      </c>
      <c r="AE22" s="24">
        <v>0</v>
      </c>
      <c r="AF22" s="14">
        <f t="shared" si="14"/>
        <v>305</v>
      </c>
      <c r="AG22" s="15">
        <f t="shared" si="10"/>
        <v>172.00000000000045</v>
      </c>
      <c r="AH22" s="16">
        <f t="shared" si="11"/>
        <v>132.99999999999955</v>
      </c>
      <c r="AI22" s="17">
        <f t="shared" si="12"/>
        <v>262.74000000000433</v>
      </c>
      <c r="AJ22" s="18">
        <f t="shared" si="13"/>
        <v>395.74000000000387</v>
      </c>
    </row>
    <row r="23" spans="1:36" ht="25.5" customHeight="1">
      <c r="A23" s="23" t="s">
        <v>80</v>
      </c>
      <c r="B23" s="35">
        <v>373.14</v>
      </c>
      <c r="C23" s="35">
        <v>143.55000000000001</v>
      </c>
      <c r="D23" s="35">
        <v>0.79200000000000004</v>
      </c>
      <c r="E23" s="35">
        <v>0.68400000000000005</v>
      </c>
      <c r="F23" s="35">
        <v>40</v>
      </c>
      <c r="G23" s="5">
        <f t="shared" si="0"/>
        <v>55.599999999999454</v>
      </c>
      <c r="H23" s="6">
        <f t="shared" si="1"/>
        <v>163.20000000000164</v>
      </c>
      <c r="I23" s="35">
        <v>76533.22</v>
      </c>
      <c r="J23" s="35">
        <v>0.91800000000000004</v>
      </c>
      <c r="K23" s="7">
        <f t="shared" si="2"/>
        <v>3.9299999999930151</v>
      </c>
      <c r="L23" s="35">
        <v>75</v>
      </c>
      <c r="M23" s="8">
        <f t="shared" si="3"/>
        <v>0</v>
      </c>
      <c r="N23" s="35">
        <v>506</v>
      </c>
      <c r="O23" s="35">
        <v>0</v>
      </c>
      <c r="P23" s="35">
        <v>127512.84</v>
      </c>
      <c r="Q23" s="35">
        <v>0.91800000000000004</v>
      </c>
      <c r="R23" s="9">
        <f t="shared" si="4"/>
        <v>0</v>
      </c>
      <c r="S23" s="10">
        <f t="shared" si="5"/>
        <v>167.12999999999465</v>
      </c>
      <c r="T23" s="23">
        <v>71</v>
      </c>
      <c r="U23" s="23">
        <v>76</v>
      </c>
      <c r="V23" s="23">
        <v>66</v>
      </c>
      <c r="W23" s="11">
        <f t="shared" si="6"/>
        <v>213</v>
      </c>
      <c r="X23" s="35">
        <v>65.44</v>
      </c>
      <c r="Y23" s="8">
        <f t="shared" si="7"/>
        <v>0</v>
      </c>
      <c r="Z23" s="35">
        <v>3014.34</v>
      </c>
      <c r="AA23" s="35">
        <v>0</v>
      </c>
      <c r="AB23" s="35">
        <v>18171</v>
      </c>
      <c r="AC23" s="8">
        <f t="shared" si="8"/>
        <v>8</v>
      </c>
      <c r="AD23" s="35">
        <v>1200.8</v>
      </c>
      <c r="AE23" s="35">
        <v>0</v>
      </c>
      <c r="AF23" s="14">
        <f t="shared" si="14"/>
        <v>213</v>
      </c>
      <c r="AG23" s="15">
        <f t="shared" si="10"/>
        <v>55.599999999999454</v>
      </c>
      <c r="AH23" s="16">
        <f t="shared" si="11"/>
        <v>157.40000000000055</v>
      </c>
      <c r="AI23" s="17">
        <f t="shared" si="12"/>
        <v>175.12999999999465</v>
      </c>
      <c r="AJ23" s="18">
        <f t="shared" si="13"/>
        <v>332.5299999999952</v>
      </c>
    </row>
    <row r="24" spans="1:36" ht="25.5" customHeight="1">
      <c r="A24" s="23" t="s">
        <v>81</v>
      </c>
      <c r="B24" s="23">
        <v>377.22</v>
      </c>
      <c r="C24" s="23">
        <v>144.94</v>
      </c>
      <c r="D24" s="23">
        <v>0.79200000000000004</v>
      </c>
      <c r="E24" s="23">
        <v>0.68400000000000005</v>
      </c>
      <c r="F24" s="23">
        <v>40</v>
      </c>
      <c r="G24" s="5"/>
      <c r="H24" s="6"/>
      <c r="I24" s="23">
        <v>76537.149999999994</v>
      </c>
      <c r="J24" s="23">
        <v>0.98699999999999999</v>
      </c>
      <c r="K24" s="7"/>
      <c r="L24" s="23">
        <v>75</v>
      </c>
      <c r="M24" s="29"/>
      <c r="N24" s="23">
        <v>506</v>
      </c>
      <c r="O24" s="23">
        <v>0</v>
      </c>
      <c r="P24" s="23">
        <v>127512.84</v>
      </c>
      <c r="Q24" s="23">
        <v>0.91800000000000004</v>
      </c>
      <c r="R24" s="9"/>
      <c r="S24" s="10"/>
      <c r="T24" s="2"/>
      <c r="U24" s="2"/>
      <c r="V24" s="2"/>
      <c r="W24" s="11"/>
      <c r="X24" s="23">
        <v>65.44</v>
      </c>
      <c r="Y24" s="29"/>
      <c r="Z24" s="23">
        <v>3014.34</v>
      </c>
      <c r="AA24" s="23">
        <v>100</v>
      </c>
      <c r="AB24" s="23">
        <v>18179</v>
      </c>
      <c r="AC24" s="8"/>
      <c r="AD24" s="23">
        <v>1201.5999999999999</v>
      </c>
      <c r="AE24" s="23">
        <v>0</v>
      </c>
      <c r="AF24" s="36"/>
      <c r="AG24" s="21"/>
      <c r="AH24" s="22"/>
      <c r="AI24" s="17"/>
      <c r="AJ24" s="30"/>
    </row>
  </sheetData>
  <mergeCells count="14">
    <mergeCell ref="AI1:AI2"/>
    <mergeCell ref="AJ1:AJ2"/>
    <mergeCell ref="A1:A2"/>
    <mergeCell ref="B1:H1"/>
    <mergeCell ref="I1:K1"/>
    <mergeCell ref="L1:O1"/>
    <mergeCell ref="P1:R1"/>
    <mergeCell ref="S1:S2"/>
    <mergeCell ref="T1:W1"/>
    <mergeCell ref="X1:AA1"/>
    <mergeCell ref="AB1:AE1"/>
    <mergeCell ref="AF1:AF2"/>
    <mergeCell ref="AG1:AG2"/>
    <mergeCell ref="AH1:AH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3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23" t="s">
        <v>80</v>
      </c>
      <c r="B3" s="35" t="s">
        <v>85</v>
      </c>
      <c r="C3" s="35" t="s">
        <v>85</v>
      </c>
      <c r="D3" s="35">
        <v>373.14</v>
      </c>
      <c r="E3" s="35">
        <v>143.55000000000001</v>
      </c>
      <c r="F3" s="35">
        <v>0.79200000000000004</v>
      </c>
      <c r="G3" s="35">
        <v>0.68400000000000005</v>
      </c>
      <c r="H3" s="35">
        <v>40</v>
      </c>
      <c r="I3" s="5">
        <f t="shared" ref="I3:I33" si="0">(E4-E3)*40</f>
        <v>55.599999999999454</v>
      </c>
      <c r="J3" s="6">
        <f t="shared" ref="J3:J33" si="1">(D4-D3)*40</f>
        <v>163.20000000000164</v>
      </c>
      <c r="K3" s="35">
        <v>76533.22</v>
      </c>
      <c r="L3" s="35">
        <v>0.91800000000000004</v>
      </c>
      <c r="M3" s="7">
        <f t="shared" ref="M3:M33" si="2">(K4-K3)</f>
        <v>3.9299999999930151</v>
      </c>
      <c r="N3" s="35">
        <v>75</v>
      </c>
      <c r="O3" s="8">
        <f t="shared" ref="O3:O10" si="3">(N4-N3)</f>
        <v>0</v>
      </c>
      <c r="P3" s="35">
        <v>506</v>
      </c>
      <c r="Q3" s="35">
        <v>0</v>
      </c>
      <c r="R3" s="35">
        <v>127512.84</v>
      </c>
      <c r="S3" s="35">
        <v>0.91800000000000004</v>
      </c>
      <c r="T3" s="9">
        <f t="shared" ref="T3:T33" si="4">(R4-R3)</f>
        <v>0</v>
      </c>
      <c r="U3" s="10">
        <f t="shared" ref="U3:U33" si="5">(J3+M3+O3+T3)</f>
        <v>167.12999999999465</v>
      </c>
      <c r="V3" s="23">
        <v>71</v>
      </c>
      <c r="W3" s="23">
        <v>76</v>
      </c>
      <c r="X3" s="23">
        <v>66</v>
      </c>
      <c r="Y3" s="11">
        <f t="shared" ref="Y3:Y33" si="6">SUM(V3:X3)</f>
        <v>213</v>
      </c>
      <c r="Z3" s="35">
        <v>65.44</v>
      </c>
      <c r="AA3" s="8">
        <f t="shared" ref="AA3:AA33" si="7">(Z4-Z3)</f>
        <v>0</v>
      </c>
      <c r="AB3" s="35">
        <v>3014.34</v>
      </c>
      <c r="AC3" s="35">
        <v>0</v>
      </c>
      <c r="AD3" s="35">
        <v>18171</v>
      </c>
      <c r="AE3" s="8">
        <f t="shared" ref="AE3:AE33" si="8">(AD4-AD3)</f>
        <v>8</v>
      </c>
      <c r="AF3" s="35">
        <v>1200.8</v>
      </c>
      <c r="AG3" s="35">
        <v>0</v>
      </c>
      <c r="AH3" s="14">
        <f t="shared" ref="AH3:AH33" si="9">Y3</f>
        <v>213</v>
      </c>
      <c r="AI3" s="15">
        <f t="shared" ref="AI3:AI33" si="10">I3</f>
        <v>55.599999999999454</v>
      </c>
      <c r="AJ3" s="16">
        <f t="shared" ref="AJ3:AJ33" si="11">(AH3-AI3)</f>
        <v>157.40000000000055</v>
      </c>
      <c r="AK3" s="17">
        <f t="shared" ref="AK3:AK33" si="12">(U3+AA3+AE3)</f>
        <v>175.12999999999465</v>
      </c>
      <c r="AL3" s="18">
        <f t="shared" ref="AL3:AL33" si="13">(AJ3+AK3)</f>
        <v>332.5299999999952</v>
      </c>
    </row>
    <row r="4" spans="1:38" ht="25.5" customHeight="1">
      <c r="A4" s="23" t="s">
        <v>81</v>
      </c>
      <c r="B4" s="35" t="s">
        <v>85</v>
      </c>
      <c r="C4" s="35" t="s">
        <v>85</v>
      </c>
      <c r="D4" s="23">
        <v>377.22</v>
      </c>
      <c r="E4" s="23">
        <v>144.94</v>
      </c>
      <c r="F4" s="23">
        <v>0.79200000000000004</v>
      </c>
      <c r="G4" s="23">
        <v>0.68400000000000005</v>
      </c>
      <c r="H4" s="23">
        <v>40</v>
      </c>
      <c r="I4" s="5">
        <f t="shared" si="0"/>
        <v>3.9999999999997726</v>
      </c>
      <c r="J4" s="6">
        <f t="shared" si="1"/>
        <v>135.59999999999945</v>
      </c>
      <c r="K4" s="23">
        <v>76537.149999999994</v>
      </c>
      <c r="L4" s="23">
        <v>0.98699999999999999</v>
      </c>
      <c r="M4" s="7">
        <f t="shared" si="2"/>
        <v>4.0900000000110595</v>
      </c>
      <c r="N4" s="23">
        <v>75</v>
      </c>
      <c r="O4" s="8">
        <f t="shared" si="3"/>
        <v>0</v>
      </c>
      <c r="P4" s="23">
        <v>506</v>
      </c>
      <c r="Q4" s="23">
        <v>0</v>
      </c>
      <c r="R4" s="23">
        <v>127512.84</v>
      </c>
      <c r="S4" s="23">
        <v>0.91800000000000004</v>
      </c>
      <c r="T4" s="9">
        <f t="shared" si="4"/>
        <v>0</v>
      </c>
      <c r="U4" s="10">
        <f t="shared" si="5"/>
        <v>139.69000000001051</v>
      </c>
      <c r="V4" s="35">
        <v>29</v>
      </c>
      <c r="W4" s="35">
        <v>30</v>
      </c>
      <c r="X4" s="35">
        <v>31</v>
      </c>
      <c r="Y4" s="11">
        <f t="shared" si="6"/>
        <v>90</v>
      </c>
      <c r="Z4" s="23">
        <v>65.44</v>
      </c>
      <c r="AA4" s="8">
        <f t="shared" si="7"/>
        <v>0.12999999999999545</v>
      </c>
      <c r="AB4" s="23">
        <v>3014.34</v>
      </c>
      <c r="AC4" s="23">
        <v>100</v>
      </c>
      <c r="AD4" s="23">
        <v>18179</v>
      </c>
      <c r="AE4" s="8">
        <f t="shared" si="8"/>
        <v>1</v>
      </c>
      <c r="AF4" s="23">
        <v>1201.5999999999999</v>
      </c>
      <c r="AG4" s="23">
        <v>0</v>
      </c>
      <c r="AH4" s="14">
        <f t="shared" si="9"/>
        <v>90</v>
      </c>
      <c r="AI4" s="15">
        <f t="shared" si="10"/>
        <v>3.9999999999997726</v>
      </c>
      <c r="AJ4" s="16">
        <f t="shared" si="11"/>
        <v>86.000000000000227</v>
      </c>
      <c r="AK4" s="17">
        <f t="shared" si="12"/>
        <v>140.82000000001051</v>
      </c>
      <c r="AL4" s="18">
        <f t="shared" si="13"/>
        <v>226.82000000001074</v>
      </c>
    </row>
    <row r="5" spans="1:38" ht="25.5" customHeight="1">
      <c r="A5" s="23" t="s">
        <v>86</v>
      </c>
      <c r="B5" s="35" t="s">
        <v>85</v>
      </c>
      <c r="C5" s="35" t="s">
        <v>85</v>
      </c>
      <c r="D5" s="23">
        <v>380.61</v>
      </c>
      <c r="E5" s="23">
        <v>145.04</v>
      </c>
      <c r="F5" s="23">
        <v>0.78600000000000003</v>
      </c>
      <c r="G5" s="23">
        <v>0.67300000000000004</v>
      </c>
      <c r="H5" s="23">
        <v>40</v>
      </c>
      <c r="I5" s="5">
        <f t="shared" si="0"/>
        <v>0</v>
      </c>
      <c r="J5" s="6">
        <f t="shared" si="1"/>
        <v>225.59999999999945</v>
      </c>
      <c r="K5" s="23">
        <v>76541.240000000005</v>
      </c>
      <c r="L5" s="23">
        <v>0.98699999999999999</v>
      </c>
      <c r="M5" s="7">
        <f t="shared" si="2"/>
        <v>4.0399999999935972</v>
      </c>
      <c r="N5" s="23">
        <v>75</v>
      </c>
      <c r="O5" s="8">
        <f t="shared" si="3"/>
        <v>0</v>
      </c>
      <c r="P5" s="23">
        <v>506</v>
      </c>
      <c r="Q5" s="23">
        <v>0</v>
      </c>
      <c r="R5" s="23">
        <v>127512.84</v>
      </c>
      <c r="S5" s="23">
        <v>0.91800000000000004</v>
      </c>
      <c r="T5" s="9">
        <f t="shared" si="4"/>
        <v>0</v>
      </c>
      <c r="U5" s="10">
        <f t="shared" si="5"/>
        <v>229.63999999999305</v>
      </c>
      <c r="V5" s="35">
        <v>0.43</v>
      </c>
      <c r="W5" s="35">
        <v>0.53</v>
      </c>
      <c r="X5" s="35">
        <v>0.66</v>
      </c>
      <c r="Y5" s="11">
        <f t="shared" si="6"/>
        <v>1.62</v>
      </c>
      <c r="Z5" s="23">
        <v>65.569999999999993</v>
      </c>
      <c r="AA5" s="8">
        <f t="shared" si="7"/>
        <v>0</v>
      </c>
      <c r="AB5" s="23">
        <v>3020.6</v>
      </c>
      <c r="AC5" s="23">
        <v>0</v>
      </c>
      <c r="AD5" s="23">
        <v>18180</v>
      </c>
      <c r="AE5" s="8">
        <f t="shared" si="8"/>
        <v>0</v>
      </c>
      <c r="AF5" s="23">
        <v>1202.5999999999999</v>
      </c>
      <c r="AG5" s="23">
        <v>0</v>
      </c>
      <c r="AH5" s="14">
        <f t="shared" si="9"/>
        <v>1.62</v>
      </c>
      <c r="AI5" s="15">
        <f t="shared" si="10"/>
        <v>0</v>
      </c>
      <c r="AJ5" s="16">
        <f t="shared" si="11"/>
        <v>1.62</v>
      </c>
      <c r="AK5" s="17">
        <f t="shared" si="12"/>
        <v>229.63999999999305</v>
      </c>
      <c r="AL5" s="18">
        <f t="shared" si="13"/>
        <v>231.25999999999306</v>
      </c>
    </row>
    <row r="6" spans="1:38" ht="25.5" customHeight="1">
      <c r="A6" s="23" t="s">
        <v>87</v>
      </c>
      <c r="B6" s="35" t="s">
        <v>85</v>
      </c>
      <c r="C6" s="35" t="s">
        <v>85</v>
      </c>
      <c r="D6" s="23">
        <v>386.25</v>
      </c>
      <c r="E6" s="23">
        <v>145.04</v>
      </c>
      <c r="F6" s="23">
        <v>0.77500000000000002</v>
      </c>
      <c r="G6" s="23">
        <v>0.17100000000000001</v>
      </c>
      <c r="H6" s="23">
        <v>40</v>
      </c>
      <c r="I6" s="5">
        <f t="shared" si="0"/>
        <v>1.6000000000008185</v>
      </c>
      <c r="J6" s="6">
        <f t="shared" si="1"/>
        <v>253.19999999999936</v>
      </c>
      <c r="K6" s="23">
        <v>76545.279999999999</v>
      </c>
      <c r="L6" s="23">
        <v>0.98699999999999999</v>
      </c>
      <c r="M6" s="7">
        <f t="shared" si="2"/>
        <v>3.0200000000040745</v>
      </c>
      <c r="N6" s="23">
        <v>75</v>
      </c>
      <c r="O6" s="8">
        <f t="shared" si="3"/>
        <v>0</v>
      </c>
      <c r="P6" s="23">
        <v>506</v>
      </c>
      <c r="Q6" s="23">
        <v>0</v>
      </c>
      <c r="R6" s="23">
        <v>127512.84</v>
      </c>
      <c r="S6" s="23">
        <v>0.91800000000000004</v>
      </c>
      <c r="T6" s="9">
        <f t="shared" si="4"/>
        <v>0</v>
      </c>
      <c r="U6" s="10">
        <f t="shared" si="5"/>
        <v>256.22000000000344</v>
      </c>
      <c r="V6" s="35">
        <v>2.6</v>
      </c>
      <c r="W6" s="35">
        <v>1.3</v>
      </c>
      <c r="X6" s="35">
        <v>4</v>
      </c>
      <c r="Y6" s="11">
        <f t="shared" si="6"/>
        <v>7.9</v>
      </c>
      <c r="Z6" s="23">
        <v>65.569999999999993</v>
      </c>
      <c r="AA6" s="8">
        <f t="shared" si="7"/>
        <v>0</v>
      </c>
      <c r="AB6" s="23">
        <v>3020.6</v>
      </c>
      <c r="AC6" s="23">
        <v>0</v>
      </c>
      <c r="AD6" s="23">
        <v>18180</v>
      </c>
      <c r="AE6" s="8">
        <f t="shared" si="8"/>
        <v>0</v>
      </c>
      <c r="AF6" s="23">
        <v>1202.5999999999999</v>
      </c>
      <c r="AG6" s="23">
        <v>0</v>
      </c>
      <c r="AH6" s="14">
        <f t="shared" si="9"/>
        <v>7.9</v>
      </c>
      <c r="AI6" s="15">
        <f t="shared" si="10"/>
        <v>1.6000000000008185</v>
      </c>
      <c r="AJ6" s="16">
        <f t="shared" si="11"/>
        <v>6.2999999999991818</v>
      </c>
      <c r="AK6" s="17">
        <f t="shared" si="12"/>
        <v>256.22000000000344</v>
      </c>
      <c r="AL6" s="18">
        <f t="shared" si="13"/>
        <v>262.5200000000026</v>
      </c>
    </row>
    <row r="7" spans="1:38" ht="25.5" customHeight="1">
      <c r="A7" s="23" t="s">
        <v>88</v>
      </c>
      <c r="B7" s="35" t="s">
        <v>85</v>
      </c>
      <c r="C7" s="35" t="s">
        <v>85</v>
      </c>
      <c r="D7" s="23">
        <v>392.58</v>
      </c>
      <c r="E7" s="23">
        <v>145.08000000000001</v>
      </c>
      <c r="F7" s="23">
        <v>0.78400000000000003</v>
      </c>
      <c r="G7" s="23">
        <v>0.47</v>
      </c>
      <c r="H7" s="23">
        <v>40</v>
      </c>
      <c r="I7" s="5">
        <f t="shared" si="0"/>
        <v>0.3999999999996362</v>
      </c>
      <c r="J7" s="6">
        <f t="shared" si="1"/>
        <v>245.60000000000173</v>
      </c>
      <c r="K7" s="23">
        <v>76548.3</v>
      </c>
      <c r="L7" s="23">
        <v>0.98699999999999999</v>
      </c>
      <c r="M7" s="7">
        <f t="shared" si="2"/>
        <v>4.0999999999912689</v>
      </c>
      <c r="N7" s="23">
        <v>75</v>
      </c>
      <c r="O7" s="8">
        <f t="shared" si="3"/>
        <v>0</v>
      </c>
      <c r="P7" s="23">
        <v>506</v>
      </c>
      <c r="Q7" s="23">
        <v>0</v>
      </c>
      <c r="R7" s="23">
        <v>127512.84</v>
      </c>
      <c r="S7" s="23">
        <v>0.91800000000000004</v>
      </c>
      <c r="T7" s="9">
        <f t="shared" si="4"/>
        <v>0</v>
      </c>
      <c r="U7" s="10">
        <f t="shared" si="5"/>
        <v>249.699999999993</v>
      </c>
      <c r="V7" s="35">
        <v>2</v>
      </c>
      <c r="W7" s="35">
        <v>2</v>
      </c>
      <c r="X7" s="35">
        <v>1</v>
      </c>
      <c r="Y7" s="11">
        <f t="shared" si="6"/>
        <v>5</v>
      </c>
      <c r="Z7" s="23">
        <v>65.569999999999993</v>
      </c>
      <c r="AA7" s="8">
        <f t="shared" si="7"/>
        <v>0</v>
      </c>
      <c r="AB7" s="23">
        <v>3020.63</v>
      </c>
      <c r="AC7" s="23">
        <v>0</v>
      </c>
      <c r="AD7" s="23">
        <v>18180</v>
      </c>
      <c r="AE7" s="8">
        <f t="shared" si="8"/>
        <v>2</v>
      </c>
      <c r="AF7" s="23">
        <v>1202.5999999999999</v>
      </c>
      <c r="AG7" s="23">
        <v>0</v>
      </c>
      <c r="AH7" s="14">
        <f t="shared" si="9"/>
        <v>5</v>
      </c>
      <c r="AI7" s="15">
        <f t="shared" si="10"/>
        <v>0.3999999999996362</v>
      </c>
      <c r="AJ7" s="16">
        <f t="shared" si="11"/>
        <v>4.6000000000003638</v>
      </c>
      <c r="AK7" s="17">
        <f t="shared" si="12"/>
        <v>251.699999999993</v>
      </c>
      <c r="AL7" s="18">
        <f t="shared" si="13"/>
        <v>256.29999999999336</v>
      </c>
    </row>
    <row r="8" spans="1:38" ht="25.5" customHeight="1">
      <c r="A8" s="23" t="s">
        <v>89</v>
      </c>
      <c r="B8" s="35" t="s">
        <v>85</v>
      </c>
      <c r="C8" s="35" t="s">
        <v>85</v>
      </c>
      <c r="D8" s="23">
        <v>398.72</v>
      </c>
      <c r="E8" s="23">
        <v>145.09</v>
      </c>
      <c r="F8" s="23">
        <v>0.75600000000000001</v>
      </c>
      <c r="G8" s="23">
        <v>0.38</v>
      </c>
      <c r="H8" s="23">
        <v>40</v>
      </c>
      <c r="I8" s="5">
        <f t="shared" si="0"/>
        <v>0</v>
      </c>
      <c r="J8" s="6">
        <f t="shared" si="1"/>
        <v>172.79999999999973</v>
      </c>
      <c r="K8" s="23">
        <v>76552.399999999994</v>
      </c>
      <c r="L8" s="23">
        <v>0.98699999999999999</v>
      </c>
      <c r="M8" s="7">
        <f t="shared" si="2"/>
        <v>3.6399999999994179</v>
      </c>
      <c r="N8" s="23">
        <v>75</v>
      </c>
      <c r="O8" s="8">
        <f t="shared" si="3"/>
        <v>0</v>
      </c>
      <c r="P8" s="23">
        <v>506</v>
      </c>
      <c r="Q8" s="23">
        <v>0</v>
      </c>
      <c r="R8" s="23">
        <v>127512.84</v>
      </c>
      <c r="S8" s="23">
        <v>0.91800000000000004</v>
      </c>
      <c r="T8" s="9">
        <f t="shared" si="4"/>
        <v>0</v>
      </c>
      <c r="U8" s="10">
        <f t="shared" si="5"/>
        <v>176.43999999999915</v>
      </c>
      <c r="V8" s="35">
        <v>0.8</v>
      </c>
      <c r="W8" s="35">
        <v>0.4</v>
      </c>
      <c r="X8" s="35">
        <v>0.4</v>
      </c>
      <c r="Y8" s="11">
        <f t="shared" si="6"/>
        <v>1.6</v>
      </c>
      <c r="Z8" s="23">
        <v>65.569999999999993</v>
      </c>
      <c r="AA8" s="8">
        <f t="shared" si="7"/>
        <v>0</v>
      </c>
      <c r="AB8" s="23">
        <v>3020.63</v>
      </c>
      <c r="AC8" s="23">
        <v>0</v>
      </c>
      <c r="AD8" s="23">
        <v>18182</v>
      </c>
      <c r="AE8" s="8">
        <f t="shared" si="8"/>
        <v>66</v>
      </c>
      <c r="AF8" s="23">
        <v>1202.8</v>
      </c>
      <c r="AG8" s="23">
        <v>0</v>
      </c>
      <c r="AH8" s="14">
        <f t="shared" si="9"/>
        <v>1.6</v>
      </c>
      <c r="AI8" s="15">
        <f t="shared" si="10"/>
        <v>0</v>
      </c>
      <c r="AJ8" s="16">
        <f t="shared" si="11"/>
        <v>1.6</v>
      </c>
      <c r="AK8" s="17">
        <f t="shared" si="12"/>
        <v>242.43999999999915</v>
      </c>
      <c r="AL8" s="18">
        <f t="shared" si="13"/>
        <v>244.03999999999914</v>
      </c>
    </row>
    <row r="9" spans="1:38" ht="25.5" customHeight="1">
      <c r="A9" s="23" t="s">
        <v>90</v>
      </c>
      <c r="B9" s="35" t="s">
        <v>85</v>
      </c>
      <c r="C9" s="35" t="s">
        <v>85</v>
      </c>
      <c r="D9" s="23">
        <v>403.04</v>
      </c>
      <c r="E9" s="23">
        <v>145.09</v>
      </c>
      <c r="F9" s="23">
        <v>0.75900000000000001</v>
      </c>
      <c r="G9" s="23">
        <v>0.377</v>
      </c>
      <c r="H9" s="23">
        <v>40</v>
      </c>
      <c r="I9" s="5">
        <f t="shared" si="0"/>
        <v>0</v>
      </c>
      <c r="J9" s="6">
        <f t="shared" si="1"/>
        <v>276.39999999999873</v>
      </c>
      <c r="K9" s="23">
        <v>76556.039999999994</v>
      </c>
      <c r="L9" s="23">
        <v>0.98699999999999999</v>
      </c>
      <c r="M9" s="7">
        <f t="shared" si="2"/>
        <v>4.1000000000058208</v>
      </c>
      <c r="N9" s="23">
        <v>75</v>
      </c>
      <c r="O9" s="8">
        <f t="shared" si="3"/>
        <v>0</v>
      </c>
      <c r="P9" s="23">
        <v>506</v>
      </c>
      <c r="Q9" s="23">
        <v>0</v>
      </c>
      <c r="R9" s="23">
        <v>127512.84</v>
      </c>
      <c r="S9" s="23">
        <v>0.91800000000000004</v>
      </c>
      <c r="T9" s="9">
        <f t="shared" si="4"/>
        <v>0</v>
      </c>
      <c r="U9" s="10">
        <f t="shared" si="5"/>
        <v>280.50000000000455</v>
      </c>
      <c r="V9" s="35">
        <v>26</v>
      </c>
      <c r="W9" s="35">
        <v>25</v>
      </c>
      <c r="X9" s="35">
        <v>25</v>
      </c>
      <c r="Y9" s="11">
        <f t="shared" si="6"/>
        <v>76</v>
      </c>
      <c r="Z9" s="23">
        <v>65.569999999999993</v>
      </c>
      <c r="AA9" s="8">
        <f t="shared" si="7"/>
        <v>0</v>
      </c>
      <c r="AB9" s="23">
        <v>3020.74</v>
      </c>
      <c r="AC9" s="23">
        <v>0</v>
      </c>
      <c r="AD9" s="23">
        <v>18248</v>
      </c>
      <c r="AE9" s="8">
        <f t="shared" si="8"/>
        <v>0</v>
      </c>
      <c r="AF9" s="23">
        <v>1208.9000000000001</v>
      </c>
      <c r="AG9" s="23">
        <v>0</v>
      </c>
      <c r="AH9" s="14">
        <f t="shared" si="9"/>
        <v>76</v>
      </c>
      <c r="AI9" s="15">
        <f t="shared" si="10"/>
        <v>0</v>
      </c>
      <c r="AJ9" s="16">
        <f t="shared" si="11"/>
        <v>76</v>
      </c>
      <c r="AK9" s="17">
        <f t="shared" si="12"/>
        <v>280.50000000000455</v>
      </c>
      <c r="AL9" s="18">
        <f t="shared" si="13"/>
        <v>356.50000000000455</v>
      </c>
    </row>
    <row r="10" spans="1:38" ht="25.5" customHeight="1">
      <c r="A10" s="23" t="s">
        <v>91</v>
      </c>
      <c r="B10" s="35" t="s">
        <v>85</v>
      </c>
      <c r="C10" s="35" t="s">
        <v>85</v>
      </c>
      <c r="D10" s="23">
        <v>409.95</v>
      </c>
      <c r="E10" s="23">
        <v>145.09</v>
      </c>
      <c r="F10" s="23">
        <v>0.755</v>
      </c>
      <c r="G10" s="23">
        <v>0.36399999999999999</v>
      </c>
      <c r="H10" s="23">
        <v>40</v>
      </c>
      <c r="I10" s="5">
        <f t="shared" si="0"/>
        <v>17.599999999999909</v>
      </c>
      <c r="J10" s="6">
        <f t="shared" si="1"/>
        <v>189.20000000000073</v>
      </c>
      <c r="K10" s="23">
        <v>76560.14</v>
      </c>
      <c r="L10" s="23">
        <v>0.98399999999999999</v>
      </c>
      <c r="M10" s="7">
        <f t="shared" si="2"/>
        <v>4.0599999999976717</v>
      </c>
      <c r="N10" s="23">
        <v>75</v>
      </c>
      <c r="O10" s="8">
        <f t="shared" si="3"/>
        <v>0</v>
      </c>
      <c r="P10" s="23">
        <v>506</v>
      </c>
      <c r="Q10" s="23">
        <v>0</v>
      </c>
      <c r="R10" s="23">
        <v>127512.84</v>
      </c>
      <c r="S10" s="23">
        <v>0.91800000000000004</v>
      </c>
      <c r="T10" s="9">
        <f t="shared" si="4"/>
        <v>0</v>
      </c>
      <c r="U10" s="10">
        <f t="shared" si="5"/>
        <v>193.2599999999984</v>
      </c>
      <c r="V10" s="35">
        <v>6.3</v>
      </c>
      <c r="W10" s="35">
        <v>6.3</v>
      </c>
      <c r="X10" s="35">
        <v>5</v>
      </c>
      <c r="Y10" s="11">
        <f t="shared" si="6"/>
        <v>17.600000000000001</v>
      </c>
      <c r="Z10" s="23">
        <v>65.569999999999993</v>
      </c>
      <c r="AA10" s="8">
        <f t="shared" si="7"/>
        <v>0</v>
      </c>
      <c r="AB10" s="23">
        <v>3020.74</v>
      </c>
      <c r="AC10" s="23">
        <v>0</v>
      </c>
      <c r="AD10" s="23">
        <v>18248</v>
      </c>
      <c r="AE10" s="8">
        <f t="shared" si="8"/>
        <v>1</v>
      </c>
      <c r="AF10" s="23">
        <v>1208.9000000000001</v>
      </c>
      <c r="AG10" s="23">
        <v>50</v>
      </c>
      <c r="AH10" s="14">
        <f t="shared" si="9"/>
        <v>17.600000000000001</v>
      </c>
      <c r="AI10" s="15">
        <f t="shared" si="10"/>
        <v>17.599999999999909</v>
      </c>
      <c r="AJ10" s="16">
        <f t="shared" si="11"/>
        <v>9.2370555648813024E-14</v>
      </c>
      <c r="AK10" s="17">
        <f t="shared" si="12"/>
        <v>194.2599999999984</v>
      </c>
      <c r="AL10" s="18">
        <f t="shared" si="13"/>
        <v>194.25999999999848</v>
      </c>
    </row>
    <row r="11" spans="1:38" ht="25.5" customHeight="1">
      <c r="A11" s="23" t="s">
        <v>92</v>
      </c>
      <c r="B11" s="35" t="s">
        <v>85</v>
      </c>
      <c r="C11" s="35" t="s">
        <v>85</v>
      </c>
      <c r="D11" s="23">
        <v>414.68</v>
      </c>
      <c r="E11" s="23">
        <v>145.53</v>
      </c>
      <c r="F11" s="23">
        <v>0.746</v>
      </c>
      <c r="G11" s="23">
        <v>0.36499999999999999</v>
      </c>
      <c r="H11" s="23">
        <v>40</v>
      </c>
      <c r="I11" s="5">
        <f t="shared" si="0"/>
        <v>21.200000000000045</v>
      </c>
      <c r="J11" s="6">
        <f t="shared" si="1"/>
        <v>185.99999999999909</v>
      </c>
      <c r="K11" s="23">
        <v>76564.2</v>
      </c>
      <c r="L11" s="23">
        <v>0.98699999999999999</v>
      </c>
      <c r="M11" s="7">
        <f t="shared" si="2"/>
        <v>4.1000000000058208</v>
      </c>
      <c r="N11" s="23">
        <v>75</v>
      </c>
      <c r="O11" s="38">
        <v>0</v>
      </c>
      <c r="P11" s="23">
        <v>506</v>
      </c>
      <c r="Q11" s="23">
        <v>0</v>
      </c>
      <c r="R11" s="23">
        <v>127512.84</v>
      </c>
      <c r="S11" s="23">
        <v>0.91800000000000004</v>
      </c>
      <c r="T11" s="9">
        <f t="shared" si="4"/>
        <v>0</v>
      </c>
      <c r="U11" s="10">
        <f t="shared" si="5"/>
        <v>190.10000000000491</v>
      </c>
      <c r="V11" s="35">
        <v>7</v>
      </c>
      <c r="W11" s="35">
        <v>7</v>
      </c>
      <c r="X11" s="35">
        <v>7.2</v>
      </c>
      <c r="Y11" s="11">
        <f t="shared" si="6"/>
        <v>21.2</v>
      </c>
      <c r="Z11" s="23">
        <v>65.569999999999993</v>
      </c>
      <c r="AA11" s="8">
        <f t="shared" si="7"/>
        <v>0</v>
      </c>
      <c r="AB11" s="23">
        <v>3020.74</v>
      </c>
      <c r="AC11" s="23">
        <v>0</v>
      </c>
      <c r="AD11" s="23">
        <v>18249</v>
      </c>
      <c r="AE11" s="8">
        <f t="shared" si="8"/>
        <v>1</v>
      </c>
      <c r="AF11" s="23">
        <v>1209.2</v>
      </c>
      <c r="AG11" s="23">
        <v>0</v>
      </c>
      <c r="AH11" s="14">
        <f t="shared" si="9"/>
        <v>21.2</v>
      </c>
      <c r="AI11" s="15">
        <f t="shared" si="10"/>
        <v>21.200000000000045</v>
      </c>
      <c r="AJ11" s="16">
        <f t="shared" si="11"/>
        <v>-4.6185277824406512E-14</v>
      </c>
      <c r="AK11" s="17">
        <f t="shared" si="12"/>
        <v>191.10000000000491</v>
      </c>
      <c r="AL11" s="18">
        <f t="shared" si="13"/>
        <v>191.10000000000485</v>
      </c>
    </row>
    <row r="12" spans="1:38" ht="25.5" customHeight="1">
      <c r="A12" s="23" t="s">
        <v>93</v>
      </c>
      <c r="B12" s="35" t="s">
        <v>85</v>
      </c>
      <c r="C12" s="35" t="s">
        <v>85</v>
      </c>
      <c r="D12" s="23">
        <v>419.33</v>
      </c>
      <c r="E12" s="23">
        <v>146.06</v>
      </c>
      <c r="F12" s="23">
        <v>0.74199999999999999</v>
      </c>
      <c r="G12" s="23">
        <v>0.44600000000000001</v>
      </c>
      <c r="H12" s="23">
        <v>40</v>
      </c>
      <c r="I12" s="5">
        <f t="shared" si="0"/>
        <v>22.000000000000455</v>
      </c>
      <c r="J12" s="6">
        <f t="shared" si="1"/>
        <v>238.80000000000109</v>
      </c>
      <c r="K12" s="23">
        <v>76568.3</v>
      </c>
      <c r="L12" s="23">
        <v>0.98699999999999999</v>
      </c>
      <c r="M12" s="7">
        <f t="shared" si="2"/>
        <v>5</v>
      </c>
      <c r="N12" s="23">
        <v>75</v>
      </c>
      <c r="O12" s="38">
        <v>0</v>
      </c>
      <c r="P12" s="23">
        <v>506</v>
      </c>
      <c r="Q12" s="23">
        <v>0</v>
      </c>
      <c r="R12" s="23">
        <v>127512.84</v>
      </c>
      <c r="S12" s="23">
        <v>0.91800000000000004</v>
      </c>
      <c r="T12" s="9">
        <f t="shared" si="4"/>
        <v>0</v>
      </c>
      <c r="U12" s="10">
        <f t="shared" si="5"/>
        <v>243.80000000000109</v>
      </c>
      <c r="V12" s="35">
        <v>28</v>
      </c>
      <c r="W12" s="35">
        <v>37</v>
      </c>
      <c r="X12" s="35">
        <v>38</v>
      </c>
      <c r="Y12" s="11">
        <f t="shared" si="6"/>
        <v>103</v>
      </c>
      <c r="Z12" s="23">
        <v>65.569999999999993</v>
      </c>
      <c r="AA12" s="8">
        <f t="shared" si="7"/>
        <v>0</v>
      </c>
      <c r="AB12" s="23">
        <v>3020.78</v>
      </c>
      <c r="AC12" s="23">
        <v>0</v>
      </c>
      <c r="AD12" s="23">
        <v>18250</v>
      </c>
      <c r="AE12" s="8">
        <f t="shared" si="8"/>
        <v>2</v>
      </c>
      <c r="AF12" s="23">
        <v>1209.3</v>
      </c>
      <c r="AG12" s="23">
        <v>0</v>
      </c>
      <c r="AH12" s="14">
        <f t="shared" si="9"/>
        <v>103</v>
      </c>
      <c r="AI12" s="15">
        <f t="shared" si="10"/>
        <v>22.000000000000455</v>
      </c>
      <c r="AJ12" s="16">
        <f t="shared" si="11"/>
        <v>80.999999999999545</v>
      </c>
      <c r="AK12" s="17">
        <f t="shared" si="12"/>
        <v>245.80000000000109</v>
      </c>
      <c r="AL12" s="18">
        <f t="shared" si="13"/>
        <v>326.80000000000064</v>
      </c>
    </row>
    <row r="13" spans="1:38" ht="25.5" customHeight="1">
      <c r="A13" s="23" t="s">
        <v>94</v>
      </c>
      <c r="B13" s="35" t="s">
        <v>85</v>
      </c>
      <c r="C13" s="35" t="s">
        <v>85</v>
      </c>
      <c r="D13" s="23">
        <v>425.3</v>
      </c>
      <c r="E13" s="23">
        <v>146.61000000000001</v>
      </c>
      <c r="F13" s="23">
        <v>0.74199999999999999</v>
      </c>
      <c r="G13" s="23">
        <v>0.47</v>
      </c>
      <c r="H13" s="23">
        <v>40</v>
      </c>
      <c r="I13" s="5">
        <f t="shared" si="0"/>
        <v>16.399999999999864</v>
      </c>
      <c r="J13" s="6">
        <f t="shared" si="1"/>
        <v>255.99999999999909</v>
      </c>
      <c r="K13" s="23">
        <v>76573.3</v>
      </c>
      <c r="L13" s="23">
        <v>0.98699999999999999</v>
      </c>
      <c r="M13" s="7">
        <f t="shared" si="2"/>
        <v>7.3000000000029104</v>
      </c>
      <c r="N13" s="23">
        <v>75</v>
      </c>
      <c r="O13" s="38">
        <v>0</v>
      </c>
      <c r="P13" s="23">
        <v>506</v>
      </c>
      <c r="Q13" s="23">
        <v>0</v>
      </c>
      <c r="R13" s="23">
        <v>127512.84</v>
      </c>
      <c r="S13" s="23">
        <v>0.91800000000000004</v>
      </c>
      <c r="T13" s="9">
        <f t="shared" si="4"/>
        <v>0</v>
      </c>
      <c r="U13" s="10">
        <f t="shared" si="5"/>
        <v>263.300000000002</v>
      </c>
      <c r="V13" s="35">
        <v>1</v>
      </c>
      <c r="W13" s="35">
        <v>1</v>
      </c>
      <c r="X13" s="35">
        <v>3</v>
      </c>
      <c r="Y13" s="11">
        <f t="shared" si="6"/>
        <v>5</v>
      </c>
      <c r="Z13" s="23">
        <v>65.569999999999993</v>
      </c>
      <c r="AA13" s="8">
        <f t="shared" si="7"/>
        <v>0</v>
      </c>
      <c r="AB13" s="23">
        <v>3020.81</v>
      </c>
      <c r="AC13" s="23">
        <v>0</v>
      </c>
      <c r="AD13" s="23">
        <v>18252</v>
      </c>
      <c r="AE13" s="8">
        <f t="shared" si="8"/>
        <v>0</v>
      </c>
      <c r="AF13" s="23">
        <v>1209.5999999999999</v>
      </c>
      <c r="AG13" s="23">
        <v>0</v>
      </c>
      <c r="AH13" s="14">
        <f t="shared" si="9"/>
        <v>5</v>
      </c>
      <c r="AI13" s="15">
        <f t="shared" si="10"/>
        <v>16.399999999999864</v>
      </c>
      <c r="AJ13" s="16">
        <f t="shared" si="11"/>
        <v>-11.399999999999864</v>
      </c>
      <c r="AK13" s="17">
        <f t="shared" si="12"/>
        <v>263.300000000002</v>
      </c>
      <c r="AL13" s="18">
        <f t="shared" si="13"/>
        <v>251.90000000000214</v>
      </c>
    </row>
    <row r="14" spans="1:38" ht="25.5" customHeight="1">
      <c r="A14" s="23" t="s">
        <v>95</v>
      </c>
      <c r="B14" s="35" t="s">
        <v>85</v>
      </c>
      <c r="C14" s="35" t="s">
        <v>85</v>
      </c>
      <c r="D14" s="23">
        <v>431.7</v>
      </c>
      <c r="E14" s="23">
        <v>147.02000000000001</v>
      </c>
      <c r="F14" s="23">
        <v>0.74299999999999999</v>
      </c>
      <c r="G14" s="23">
        <v>0.48599999999999999</v>
      </c>
      <c r="H14" s="23">
        <v>40</v>
      </c>
      <c r="I14" s="5">
        <f t="shared" si="0"/>
        <v>22.799999999999727</v>
      </c>
      <c r="J14" s="6">
        <f t="shared" si="1"/>
        <v>172.79999999999973</v>
      </c>
      <c r="K14" s="23">
        <v>76580.600000000006</v>
      </c>
      <c r="L14" s="23">
        <v>0.98699999999999999</v>
      </c>
      <c r="M14" s="7">
        <f t="shared" si="2"/>
        <v>4.0899999999965075</v>
      </c>
      <c r="N14" s="23">
        <v>75</v>
      </c>
      <c r="O14" s="38">
        <v>0</v>
      </c>
      <c r="P14" s="23">
        <v>506</v>
      </c>
      <c r="Q14" s="23">
        <v>0</v>
      </c>
      <c r="R14" s="23">
        <v>127512.84</v>
      </c>
      <c r="S14" s="23">
        <v>0.91800000000000004</v>
      </c>
      <c r="T14" s="9">
        <f t="shared" si="4"/>
        <v>0</v>
      </c>
      <c r="U14" s="10">
        <f t="shared" si="5"/>
        <v>176.88999999999623</v>
      </c>
      <c r="V14" s="35">
        <v>23</v>
      </c>
      <c r="W14" s="35">
        <v>34</v>
      </c>
      <c r="X14" s="35">
        <v>41</v>
      </c>
      <c r="Y14" s="11">
        <f t="shared" si="6"/>
        <v>98</v>
      </c>
      <c r="Z14" s="23">
        <v>65.569999999999993</v>
      </c>
      <c r="AA14" s="8">
        <f t="shared" si="7"/>
        <v>0</v>
      </c>
      <c r="AB14" s="23">
        <v>3020.81</v>
      </c>
      <c r="AC14" s="23">
        <v>0</v>
      </c>
      <c r="AD14" s="23">
        <v>18252</v>
      </c>
      <c r="AE14" s="8">
        <f t="shared" si="8"/>
        <v>14</v>
      </c>
      <c r="AF14" s="23">
        <v>1209.7</v>
      </c>
      <c r="AG14" s="23">
        <v>0</v>
      </c>
      <c r="AH14" s="14">
        <f t="shared" si="9"/>
        <v>98</v>
      </c>
      <c r="AI14" s="15">
        <f t="shared" si="10"/>
        <v>22.799999999999727</v>
      </c>
      <c r="AJ14" s="16">
        <f t="shared" si="11"/>
        <v>75.200000000000273</v>
      </c>
      <c r="AK14" s="17">
        <f t="shared" si="12"/>
        <v>190.88999999999623</v>
      </c>
      <c r="AL14" s="18">
        <f t="shared" si="13"/>
        <v>266.08999999999651</v>
      </c>
    </row>
    <row r="15" spans="1:38" ht="25.5" customHeight="1">
      <c r="A15" s="23" t="s">
        <v>96</v>
      </c>
      <c r="B15" s="35" t="s">
        <v>85</v>
      </c>
      <c r="C15" s="35" t="s">
        <v>85</v>
      </c>
      <c r="D15" s="23">
        <v>436.02</v>
      </c>
      <c r="E15" s="23">
        <v>147.59</v>
      </c>
      <c r="F15" s="23">
        <v>0.73499999999999999</v>
      </c>
      <c r="G15" s="23">
        <v>0.48</v>
      </c>
      <c r="H15" s="23">
        <v>40</v>
      </c>
      <c r="I15" s="5">
        <f t="shared" si="0"/>
        <v>9.1999999999995907</v>
      </c>
      <c r="J15" s="6">
        <f t="shared" si="1"/>
        <v>323.60000000000127</v>
      </c>
      <c r="K15" s="23">
        <v>76584.69</v>
      </c>
      <c r="L15" s="23">
        <v>0.98399999999999999</v>
      </c>
      <c r="M15" s="7">
        <f t="shared" si="2"/>
        <v>4.0099999999947613</v>
      </c>
      <c r="N15" s="23">
        <v>75</v>
      </c>
      <c r="O15" s="38">
        <v>0</v>
      </c>
      <c r="P15" s="23">
        <v>506</v>
      </c>
      <c r="Q15" s="23">
        <v>0</v>
      </c>
      <c r="R15" s="23">
        <v>127512.84</v>
      </c>
      <c r="S15" s="23">
        <v>0.91800000000000004</v>
      </c>
      <c r="T15" s="9">
        <f t="shared" si="4"/>
        <v>0</v>
      </c>
      <c r="U15" s="10">
        <f t="shared" si="5"/>
        <v>327.60999999999603</v>
      </c>
      <c r="V15" s="35">
        <v>34</v>
      </c>
      <c r="W15" s="35">
        <v>44</v>
      </c>
      <c r="X15" s="35">
        <v>41</v>
      </c>
      <c r="Y15" s="11">
        <f t="shared" si="6"/>
        <v>119</v>
      </c>
      <c r="Z15" s="23">
        <v>65.569999999999993</v>
      </c>
      <c r="AA15" s="8">
        <f t="shared" si="7"/>
        <v>0</v>
      </c>
      <c r="AB15" s="23">
        <v>3020.83</v>
      </c>
      <c r="AC15" s="23">
        <v>0</v>
      </c>
      <c r="AD15" s="23">
        <v>18266</v>
      </c>
      <c r="AE15" s="8">
        <f t="shared" si="8"/>
        <v>4</v>
      </c>
      <c r="AF15" s="23">
        <v>1211.5999999999999</v>
      </c>
      <c r="AG15" s="23">
        <v>0</v>
      </c>
      <c r="AH15" s="14">
        <f t="shared" si="9"/>
        <v>119</v>
      </c>
      <c r="AI15" s="15">
        <f t="shared" si="10"/>
        <v>9.1999999999995907</v>
      </c>
      <c r="AJ15" s="16">
        <f t="shared" si="11"/>
        <v>109.80000000000041</v>
      </c>
      <c r="AK15" s="17">
        <f t="shared" si="12"/>
        <v>331.60999999999603</v>
      </c>
      <c r="AL15" s="18">
        <f t="shared" si="13"/>
        <v>441.40999999999644</v>
      </c>
    </row>
    <row r="16" spans="1:38" ht="25.5" customHeight="1">
      <c r="A16" s="23" t="s">
        <v>97</v>
      </c>
      <c r="B16" s="35" t="s">
        <v>85</v>
      </c>
      <c r="C16" s="35" t="s">
        <v>85</v>
      </c>
      <c r="D16" s="23">
        <v>444.11</v>
      </c>
      <c r="E16" s="23">
        <v>147.82</v>
      </c>
      <c r="F16" s="23">
        <v>0.74299999999999999</v>
      </c>
      <c r="G16" s="23">
        <v>0.48399999999999999</v>
      </c>
      <c r="H16" s="23">
        <v>40</v>
      </c>
      <c r="I16" s="5">
        <f t="shared" si="0"/>
        <v>0.40000000000077307</v>
      </c>
      <c r="J16" s="6">
        <f t="shared" si="1"/>
        <v>355.99999999999909</v>
      </c>
      <c r="K16" s="23">
        <v>76588.7</v>
      </c>
      <c r="L16" s="23">
        <v>0.98399999999999999</v>
      </c>
      <c r="M16" s="7">
        <f t="shared" si="2"/>
        <v>4.180000000007567</v>
      </c>
      <c r="N16" s="23">
        <v>75</v>
      </c>
      <c r="O16" s="38">
        <v>0</v>
      </c>
      <c r="P16" s="23">
        <v>506</v>
      </c>
      <c r="Q16" s="23">
        <v>0</v>
      </c>
      <c r="R16" s="23">
        <v>127512.84</v>
      </c>
      <c r="S16" s="23">
        <v>0.91800000000000004</v>
      </c>
      <c r="T16" s="9">
        <f t="shared" si="4"/>
        <v>0</v>
      </c>
      <c r="U16" s="10">
        <f t="shared" si="5"/>
        <v>360.18000000000666</v>
      </c>
      <c r="V16" s="35">
        <v>0</v>
      </c>
      <c r="W16" s="35">
        <v>0</v>
      </c>
      <c r="X16" s="35">
        <v>28</v>
      </c>
      <c r="Y16" s="11">
        <f t="shared" si="6"/>
        <v>28</v>
      </c>
      <c r="Z16" s="23">
        <v>65.569999999999993</v>
      </c>
      <c r="AA16" s="8">
        <f t="shared" si="7"/>
        <v>0</v>
      </c>
      <c r="AB16" s="23">
        <v>3020.85</v>
      </c>
      <c r="AC16" s="23">
        <v>0</v>
      </c>
      <c r="AD16" s="23">
        <v>18270</v>
      </c>
      <c r="AE16" s="8">
        <f t="shared" si="8"/>
        <v>1</v>
      </c>
      <c r="AF16" s="23">
        <v>1212.0999999999999</v>
      </c>
      <c r="AG16" s="23">
        <v>0</v>
      </c>
      <c r="AH16" s="14">
        <f t="shared" si="9"/>
        <v>28</v>
      </c>
      <c r="AI16" s="15">
        <f t="shared" si="10"/>
        <v>0.40000000000077307</v>
      </c>
      <c r="AJ16" s="16">
        <f t="shared" si="11"/>
        <v>27.599999999999227</v>
      </c>
      <c r="AK16" s="17">
        <f t="shared" si="12"/>
        <v>361.18000000000666</v>
      </c>
      <c r="AL16" s="18">
        <f t="shared" si="13"/>
        <v>388.78000000000588</v>
      </c>
    </row>
    <row r="17" spans="1:38" ht="25.5" customHeight="1">
      <c r="A17" s="23" t="s">
        <v>98</v>
      </c>
      <c r="B17" s="35" t="s">
        <v>85</v>
      </c>
      <c r="C17" s="35" t="s">
        <v>85</v>
      </c>
      <c r="D17" s="23">
        <v>453.01</v>
      </c>
      <c r="E17" s="23">
        <v>147.83000000000001</v>
      </c>
      <c r="F17" s="23">
        <v>0.751</v>
      </c>
      <c r="G17" s="23">
        <v>0.47</v>
      </c>
      <c r="H17" s="23">
        <v>40</v>
      </c>
      <c r="I17" s="5">
        <f t="shared" si="0"/>
        <v>0</v>
      </c>
      <c r="J17" s="6">
        <f t="shared" si="1"/>
        <v>169.60000000000036</v>
      </c>
      <c r="K17" s="23">
        <v>76592.88</v>
      </c>
      <c r="L17" s="23">
        <v>0.98399999999999999</v>
      </c>
      <c r="M17" s="7">
        <f t="shared" si="2"/>
        <v>3</v>
      </c>
      <c r="N17" s="23">
        <v>75</v>
      </c>
      <c r="O17" s="38">
        <v>0</v>
      </c>
      <c r="P17" s="23">
        <v>506</v>
      </c>
      <c r="Q17" s="23">
        <v>0</v>
      </c>
      <c r="R17" s="23">
        <v>127512.84</v>
      </c>
      <c r="S17" s="23">
        <v>0.91800000000000004</v>
      </c>
      <c r="T17" s="9">
        <f t="shared" si="4"/>
        <v>0</v>
      </c>
      <c r="U17" s="10">
        <f t="shared" si="5"/>
        <v>172.60000000000036</v>
      </c>
      <c r="V17" s="35">
        <v>0</v>
      </c>
      <c r="W17" s="35">
        <v>1</v>
      </c>
      <c r="X17" s="35">
        <v>0</v>
      </c>
      <c r="Y17" s="11">
        <f t="shared" si="6"/>
        <v>1</v>
      </c>
      <c r="Z17" s="23">
        <v>65.569999999999993</v>
      </c>
      <c r="AA17" s="8">
        <f t="shared" si="7"/>
        <v>0</v>
      </c>
      <c r="AB17" s="23">
        <v>3020.87</v>
      </c>
      <c r="AC17" s="23">
        <v>0</v>
      </c>
      <c r="AD17" s="23">
        <v>18271</v>
      </c>
      <c r="AE17" s="8">
        <f t="shared" si="8"/>
        <v>0</v>
      </c>
      <c r="AF17" s="23">
        <v>1212.7</v>
      </c>
      <c r="AG17" s="23">
        <v>0</v>
      </c>
      <c r="AH17" s="14">
        <f t="shared" si="9"/>
        <v>1</v>
      </c>
      <c r="AI17" s="15">
        <f t="shared" si="10"/>
        <v>0</v>
      </c>
      <c r="AJ17" s="16">
        <f t="shared" si="11"/>
        <v>1</v>
      </c>
      <c r="AK17" s="17">
        <f t="shared" si="12"/>
        <v>172.60000000000036</v>
      </c>
      <c r="AL17" s="18">
        <f t="shared" si="13"/>
        <v>173.60000000000036</v>
      </c>
    </row>
    <row r="18" spans="1:38" ht="25.5" customHeight="1">
      <c r="A18" s="23" t="s">
        <v>99</v>
      </c>
      <c r="B18" s="35" t="s">
        <v>85</v>
      </c>
      <c r="C18" s="35" t="s">
        <v>85</v>
      </c>
      <c r="D18" s="23">
        <v>457.25</v>
      </c>
      <c r="E18" s="23">
        <v>147.83000000000001</v>
      </c>
      <c r="F18" s="23">
        <v>0.751</v>
      </c>
      <c r="G18" s="23">
        <v>0.47</v>
      </c>
      <c r="H18" s="23">
        <v>40</v>
      </c>
      <c r="I18" s="5">
        <f t="shared" si="0"/>
        <v>2.7999999999997272</v>
      </c>
      <c r="J18" s="6">
        <f t="shared" si="1"/>
        <v>279.20000000000073</v>
      </c>
      <c r="K18" s="23">
        <v>76595.88</v>
      </c>
      <c r="L18" s="23">
        <v>0.98399999999999999</v>
      </c>
      <c r="M18" s="7">
        <f t="shared" si="2"/>
        <v>3.1999999999970896</v>
      </c>
      <c r="N18" s="23">
        <v>75</v>
      </c>
      <c r="O18" s="38">
        <v>0</v>
      </c>
      <c r="P18" s="23">
        <v>506</v>
      </c>
      <c r="Q18" s="23">
        <v>0</v>
      </c>
      <c r="R18" s="23">
        <v>127512.84</v>
      </c>
      <c r="S18" s="23">
        <v>0.91800000000000004</v>
      </c>
      <c r="T18" s="9">
        <f t="shared" si="4"/>
        <v>0</v>
      </c>
      <c r="U18" s="10">
        <f t="shared" si="5"/>
        <v>282.39999999999782</v>
      </c>
      <c r="V18" s="35">
        <v>6</v>
      </c>
      <c r="W18" s="35">
        <v>13</v>
      </c>
      <c r="X18" s="35">
        <v>6</v>
      </c>
      <c r="Y18" s="11">
        <f t="shared" si="6"/>
        <v>25</v>
      </c>
      <c r="Z18" s="23">
        <v>65.569999999999993</v>
      </c>
      <c r="AA18" s="8">
        <f t="shared" si="7"/>
        <v>5.0000000000011369E-2</v>
      </c>
      <c r="AB18" s="23">
        <v>3020.88</v>
      </c>
      <c r="AC18" s="23">
        <v>0</v>
      </c>
      <c r="AD18" s="23">
        <v>18271</v>
      </c>
      <c r="AE18" s="8">
        <f t="shared" si="8"/>
        <v>12</v>
      </c>
      <c r="AF18" s="23">
        <v>1212.8</v>
      </c>
      <c r="AG18" s="23">
        <v>0</v>
      </c>
      <c r="AH18" s="14">
        <f t="shared" si="9"/>
        <v>25</v>
      </c>
      <c r="AI18" s="15">
        <f t="shared" si="10"/>
        <v>2.7999999999997272</v>
      </c>
      <c r="AJ18" s="16">
        <f t="shared" si="11"/>
        <v>22.200000000000273</v>
      </c>
      <c r="AK18" s="17">
        <f t="shared" si="12"/>
        <v>294.44999999999783</v>
      </c>
      <c r="AL18" s="18">
        <f t="shared" si="13"/>
        <v>316.6499999999981</v>
      </c>
    </row>
    <row r="19" spans="1:38" ht="25.5" customHeight="1">
      <c r="A19" s="23" t="s">
        <v>100</v>
      </c>
      <c r="B19" s="35" t="s">
        <v>85</v>
      </c>
      <c r="C19" s="35" t="s">
        <v>85</v>
      </c>
      <c r="D19" s="23">
        <v>464.23</v>
      </c>
      <c r="E19" s="23">
        <v>147.9</v>
      </c>
      <c r="F19" s="23">
        <v>0.752</v>
      </c>
      <c r="G19" s="23">
        <v>0.47</v>
      </c>
      <c r="H19" s="23">
        <v>40</v>
      </c>
      <c r="I19" s="5">
        <f t="shared" si="0"/>
        <v>0.3999999999996362</v>
      </c>
      <c r="J19" s="6">
        <f t="shared" si="1"/>
        <v>299.60000000000036</v>
      </c>
      <c r="K19" s="23">
        <v>76599.08</v>
      </c>
      <c r="L19" s="23">
        <v>0.98399999999999999</v>
      </c>
      <c r="M19" s="7">
        <f t="shared" si="2"/>
        <v>4.0099999999947613</v>
      </c>
      <c r="N19" s="23">
        <v>75</v>
      </c>
      <c r="O19" s="38">
        <v>0</v>
      </c>
      <c r="P19" s="23">
        <v>506</v>
      </c>
      <c r="Q19" s="23">
        <v>0</v>
      </c>
      <c r="R19" s="23">
        <v>127512.84</v>
      </c>
      <c r="S19" s="23">
        <v>0.91800000000000004</v>
      </c>
      <c r="T19" s="9">
        <f t="shared" si="4"/>
        <v>0</v>
      </c>
      <c r="U19" s="10">
        <f t="shared" si="5"/>
        <v>303.60999999999513</v>
      </c>
      <c r="V19" s="35">
        <v>0</v>
      </c>
      <c r="W19" s="35">
        <v>1</v>
      </c>
      <c r="X19" s="35">
        <v>0</v>
      </c>
      <c r="Y19" s="11">
        <f t="shared" si="6"/>
        <v>1</v>
      </c>
      <c r="Z19" s="23">
        <v>65.62</v>
      </c>
      <c r="AA19" s="8">
        <f t="shared" si="7"/>
        <v>0</v>
      </c>
      <c r="AB19" s="23">
        <v>3023.15</v>
      </c>
      <c r="AC19" s="23">
        <v>0</v>
      </c>
      <c r="AD19" s="23">
        <v>18283</v>
      </c>
      <c r="AE19" s="8">
        <f t="shared" si="8"/>
        <v>0</v>
      </c>
      <c r="AF19" s="23">
        <v>1214.4000000000001</v>
      </c>
      <c r="AG19" s="23">
        <v>0</v>
      </c>
      <c r="AH19" s="14">
        <f t="shared" si="9"/>
        <v>1</v>
      </c>
      <c r="AI19" s="15">
        <f t="shared" si="10"/>
        <v>0.3999999999996362</v>
      </c>
      <c r="AJ19" s="16">
        <f t="shared" si="11"/>
        <v>0.6000000000003638</v>
      </c>
      <c r="AK19" s="17">
        <f t="shared" si="12"/>
        <v>303.60999999999513</v>
      </c>
      <c r="AL19" s="18">
        <f t="shared" si="13"/>
        <v>304.20999999999549</v>
      </c>
    </row>
    <row r="20" spans="1:38" ht="25.5" customHeight="1">
      <c r="A20" s="23" t="s">
        <v>101</v>
      </c>
      <c r="B20" s="35" t="s">
        <v>85</v>
      </c>
      <c r="C20" s="35" t="s">
        <v>85</v>
      </c>
      <c r="D20" s="23">
        <v>471.72</v>
      </c>
      <c r="E20" s="23">
        <v>147.91</v>
      </c>
      <c r="F20" s="23">
        <v>0.751</v>
      </c>
      <c r="G20" s="23">
        <v>0.47199999999999998</v>
      </c>
      <c r="H20" s="23">
        <v>40</v>
      </c>
      <c r="I20" s="5">
        <f t="shared" si="0"/>
        <v>6.8000000000006366</v>
      </c>
      <c r="J20" s="6">
        <f t="shared" si="1"/>
        <v>231.59999999999854</v>
      </c>
      <c r="K20" s="23">
        <v>76603.09</v>
      </c>
      <c r="L20" s="23">
        <v>0.98399999999999999</v>
      </c>
      <c r="M20" s="7">
        <f t="shared" si="2"/>
        <v>1.8300000000017462</v>
      </c>
      <c r="N20" s="23">
        <v>75</v>
      </c>
      <c r="O20" s="38">
        <v>0</v>
      </c>
      <c r="P20" s="23">
        <v>506</v>
      </c>
      <c r="Q20" s="23">
        <v>0</v>
      </c>
      <c r="R20" s="23">
        <v>127512.84</v>
      </c>
      <c r="S20" s="23">
        <v>0.91800000000000004</v>
      </c>
      <c r="T20" s="9">
        <f t="shared" si="4"/>
        <v>0</v>
      </c>
      <c r="U20" s="10">
        <f t="shared" si="5"/>
        <v>233.43000000000029</v>
      </c>
      <c r="V20" s="35">
        <v>4.8</v>
      </c>
      <c r="W20" s="35">
        <v>3.6</v>
      </c>
      <c r="X20" s="35">
        <v>3.9</v>
      </c>
      <c r="Y20" s="11">
        <f t="shared" si="6"/>
        <v>12.3</v>
      </c>
      <c r="Z20" s="23">
        <v>65.62</v>
      </c>
      <c r="AA20" s="8">
        <f t="shared" si="7"/>
        <v>0</v>
      </c>
      <c r="AB20" s="23">
        <v>3023.17</v>
      </c>
      <c r="AC20" s="23">
        <v>0</v>
      </c>
      <c r="AD20" s="23">
        <v>18283</v>
      </c>
      <c r="AE20" s="8">
        <f t="shared" si="8"/>
        <v>0</v>
      </c>
      <c r="AF20" s="23">
        <v>1214.5</v>
      </c>
      <c r="AG20" s="23">
        <v>0</v>
      </c>
      <c r="AH20" s="14">
        <f t="shared" si="9"/>
        <v>12.3</v>
      </c>
      <c r="AI20" s="15">
        <f t="shared" si="10"/>
        <v>6.8000000000006366</v>
      </c>
      <c r="AJ20" s="16">
        <f t="shared" si="11"/>
        <v>5.4999999999993641</v>
      </c>
      <c r="AK20" s="17">
        <f t="shared" si="12"/>
        <v>233.43000000000029</v>
      </c>
      <c r="AL20" s="18">
        <f t="shared" si="13"/>
        <v>238.92999999999967</v>
      </c>
    </row>
    <row r="21" spans="1:38" ht="25.5" customHeight="1">
      <c r="A21" s="23" t="s">
        <v>102</v>
      </c>
      <c r="B21" s="35" t="s">
        <v>85</v>
      </c>
      <c r="C21" s="35" t="s">
        <v>85</v>
      </c>
      <c r="D21" s="23">
        <v>477.51</v>
      </c>
      <c r="E21" s="23">
        <v>148.08000000000001</v>
      </c>
      <c r="F21" s="23">
        <v>0.749</v>
      </c>
      <c r="G21" s="23">
        <v>0.47099999999999997</v>
      </c>
      <c r="H21" s="23">
        <v>40</v>
      </c>
      <c r="I21" s="5">
        <f t="shared" si="0"/>
        <v>67.599999999999909</v>
      </c>
      <c r="J21" s="6">
        <f t="shared" si="1"/>
        <v>179.60000000000036</v>
      </c>
      <c r="K21" s="23">
        <v>76604.92</v>
      </c>
      <c r="L21" s="23">
        <v>0.98399999999999999</v>
      </c>
      <c r="M21" s="7">
        <f t="shared" si="2"/>
        <v>3</v>
      </c>
      <c r="N21" s="23">
        <v>75</v>
      </c>
      <c r="O21" s="38">
        <v>0</v>
      </c>
      <c r="P21" s="23">
        <v>507.2</v>
      </c>
      <c r="Q21" s="23">
        <v>0</v>
      </c>
      <c r="R21" s="23">
        <v>127512.84</v>
      </c>
      <c r="S21" s="23">
        <v>0.91800000000000004</v>
      </c>
      <c r="T21" s="9">
        <f t="shared" si="4"/>
        <v>0</v>
      </c>
      <c r="U21" s="10">
        <f t="shared" si="5"/>
        <v>182.60000000000036</v>
      </c>
      <c r="V21" s="35">
        <v>56.81</v>
      </c>
      <c r="W21" s="35">
        <v>73.12</v>
      </c>
      <c r="X21" s="35">
        <v>68.53</v>
      </c>
      <c r="Y21" s="11">
        <f t="shared" si="6"/>
        <v>198.46</v>
      </c>
      <c r="Z21" s="23">
        <v>65.62</v>
      </c>
      <c r="AA21" s="8">
        <f t="shared" si="7"/>
        <v>0</v>
      </c>
      <c r="AB21" s="23">
        <v>3023.2</v>
      </c>
      <c r="AC21" s="23">
        <v>0</v>
      </c>
      <c r="AD21" s="23">
        <v>18283</v>
      </c>
      <c r="AE21" s="8">
        <f t="shared" si="8"/>
        <v>0</v>
      </c>
      <c r="AF21" s="23">
        <v>1214.5</v>
      </c>
      <c r="AG21" s="23">
        <v>0</v>
      </c>
      <c r="AH21" s="14">
        <f t="shared" si="9"/>
        <v>198.46</v>
      </c>
      <c r="AI21" s="15">
        <f t="shared" si="10"/>
        <v>67.599999999999909</v>
      </c>
      <c r="AJ21" s="16">
        <f t="shared" si="11"/>
        <v>130.8600000000001</v>
      </c>
      <c r="AK21" s="17">
        <f t="shared" si="12"/>
        <v>182.60000000000036</v>
      </c>
      <c r="AL21" s="18">
        <f t="shared" si="13"/>
        <v>313.46000000000049</v>
      </c>
    </row>
    <row r="22" spans="1:38" ht="25.5" customHeight="1">
      <c r="A22" s="23" t="s">
        <v>103</v>
      </c>
      <c r="B22" s="35" t="s">
        <v>85</v>
      </c>
      <c r="C22" s="35" t="s">
        <v>85</v>
      </c>
      <c r="D22" s="23">
        <v>482</v>
      </c>
      <c r="E22" s="23">
        <v>149.77000000000001</v>
      </c>
      <c r="F22" s="23">
        <v>0.74399999999999999</v>
      </c>
      <c r="G22" s="23">
        <v>0.50800000000000001</v>
      </c>
      <c r="H22" s="23">
        <v>40</v>
      </c>
      <c r="I22" s="5">
        <f t="shared" si="0"/>
        <v>11.599999999999682</v>
      </c>
      <c r="J22" s="6">
        <f t="shared" si="1"/>
        <v>257.20000000000027</v>
      </c>
      <c r="K22" s="23">
        <v>76607.92</v>
      </c>
      <c r="L22" s="23">
        <v>0.98399999999999999</v>
      </c>
      <c r="M22" s="7">
        <f t="shared" si="2"/>
        <v>2.9000000000087311</v>
      </c>
      <c r="N22" s="23">
        <v>75</v>
      </c>
      <c r="O22" s="38">
        <v>0</v>
      </c>
      <c r="P22" s="23">
        <v>507.2</v>
      </c>
      <c r="Q22" s="23">
        <v>0</v>
      </c>
      <c r="R22" s="23">
        <v>127512.84</v>
      </c>
      <c r="S22" s="23">
        <v>0.91800000000000004</v>
      </c>
      <c r="T22" s="9">
        <f t="shared" si="4"/>
        <v>0</v>
      </c>
      <c r="U22" s="10">
        <f t="shared" si="5"/>
        <v>260.100000000009</v>
      </c>
      <c r="V22" s="35">
        <v>53</v>
      </c>
      <c r="W22" s="35">
        <v>56</v>
      </c>
      <c r="X22" s="35">
        <v>45</v>
      </c>
      <c r="Y22" s="11">
        <f t="shared" si="6"/>
        <v>154</v>
      </c>
      <c r="Z22" s="23">
        <v>65.62</v>
      </c>
      <c r="AA22" s="8">
        <f t="shared" si="7"/>
        <v>0</v>
      </c>
      <c r="AB22" s="23">
        <v>3023.21</v>
      </c>
      <c r="AC22" s="23">
        <v>0</v>
      </c>
      <c r="AD22" s="23">
        <v>18283</v>
      </c>
      <c r="AE22" s="8">
        <f t="shared" si="8"/>
        <v>0</v>
      </c>
      <c r="AF22" s="23">
        <v>1214.5</v>
      </c>
      <c r="AG22" s="23">
        <v>0</v>
      </c>
      <c r="AH22" s="14">
        <f t="shared" si="9"/>
        <v>154</v>
      </c>
      <c r="AI22" s="15">
        <f t="shared" si="10"/>
        <v>11.599999999999682</v>
      </c>
      <c r="AJ22" s="16">
        <f t="shared" si="11"/>
        <v>142.40000000000032</v>
      </c>
      <c r="AK22" s="17">
        <f t="shared" si="12"/>
        <v>260.100000000009</v>
      </c>
      <c r="AL22" s="18">
        <f t="shared" si="13"/>
        <v>402.50000000000932</v>
      </c>
    </row>
    <row r="23" spans="1:38" ht="25.5" customHeight="1">
      <c r="A23" s="23" t="s">
        <v>104</v>
      </c>
      <c r="B23" s="35" t="s">
        <v>85</v>
      </c>
      <c r="C23" s="35" t="s">
        <v>85</v>
      </c>
      <c r="D23" s="23">
        <v>488.43</v>
      </c>
      <c r="E23" s="23">
        <v>150.06</v>
      </c>
      <c r="F23" s="23">
        <v>0.73399999999999999</v>
      </c>
      <c r="G23" s="23">
        <v>0.48299999999999998</v>
      </c>
      <c r="H23" s="23">
        <v>40</v>
      </c>
      <c r="I23" s="5">
        <f t="shared" si="0"/>
        <v>29.199999999999591</v>
      </c>
      <c r="J23" s="6">
        <f t="shared" si="1"/>
        <v>208.39999999999918</v>
      </c>
      <c r="K23" s="23">
        <v>76610.820000000007</v>
      </c>
      <c r="L23" s="23">
        <v>0.98399999999999999</v>
      </c>
      <c r="M23" s="7">
        <f t="shared" si="2"/>
        <v>3.9799999999959255</v>
      </c>
      <c r="N23" s="23">
        <v>75</v>
      </c>
      <c r="O23" s="38">
        <v>0</v>
      </c>
      <c r="P23" s="23">
        <v>507.2</v>
      </c>
      <c r="Q23" s="23">
        <v>0</v>
      </c>
      <c r="R23" s="23">
        <v>127512.84</v>
      </c>
      <c r="S23" s="23">
        <v>0.91800000000000004</v>
      </c>
      <c r="T23" s="9">
        <f t="shared" si="4"/>
        <v>0</v>
      </c>
      <c r="U23" s="10">
        <f t="shared" si="5"/>
        <v>212.37999999999511</v>
      </c>
      <c r="V23" s="35">
        <v>31</v>
      </c>
      <c r="W23" s="35">
        <v>31</v>
      </c>
      <c r="X23" s="35">
        <v>27</v>
      </c>
      <c r="Y23" s="11">
        <f t="shared" si="6"/>
        <v>89</v>
      </c>
      <c r="Z23" s="23">
        <v>65.62</v>
      </c>
      <c r="AA23" s="8">
        <f t="shared" si="7"/>
        <v>9.9999999999909051E-3</v>
      </c>
      <c r="AB23" s="23">
        <v>3023.23</v>
      </c>
      <c r="AC23" s="23">
        <v>0</v>
      </c>
      <c r="AD23" s="23">
        <v>18283</v>
      </c>
      <c r="AE23" s="8">
        <f t="shared" si="8"/>
        <v>0</v>
      </c>
      <c r="AF23" s="23">
        <v>1214.5</v>
      </c>
      <c r="AG23" s="23">
        <v>0</v>
      </c>
      <c r="AH23" s="14">
        <f t="shared" si="9"/>
        <v>89</v>
      </c>
      <c r="AI23" s="15">
        <f t="shared" si="10"/>
        <v>29.199999999999591</v>
      </c>
      <c r="AJ23" s="16">
        <f t="shared" si="11"/>
        <v>59.800000000000409</v>
      </c>
      <c r="AK23" s="17">
        <f t="shared" si="12"/>
        <v>212.3899999999951</v>
      </c>
      <c r="AL23" s="18">
        <f t="shared" si="13"/>
        <v>272.18999999999551</v>
      </c>
    </row>
    <row r="24" spans="1:38" ht="25.5" customHeight="1">
      <c r="A24" s="23" t="s">
        <v>105</v>
      </c>
      <c r="B24" s="35" t="s">
        <v>85</v>
      </c>
      <c r="C24" s="35" t="s">
        <v>85</v>
      </c>
      <c r="D24" s="23">
        <v>493.64</v>
      </c>
      <c r="E24" s="23">
        <v>150.79</v>
      </c>
      <c r="F24" s="23">
        <v>0.73699999999999999</v>
      </c>
      <c r="G24" s="23">
        <v>0.48599999999999999</v>
      </c>
      <c r="H24" s="23">
        <v>40</v>
      </c>
      <c r="I24" s="5">
        <f t="shared" si="0"/>
        <v>45.600000000000591</v>
      </c>
      <c r="J24" s="6">
        <f t="shared" si="1"/>
        <v>220</v>
      </c>
      <c r="K24" s="23">
        <v>76614.8</v>
      </c>
      <c r="L24" s="23">
        <v>0.98399999999999999</v>
      </c>
      <c r="M24" s="7">
        <f t="shared" si="2"/>
        <v>15.179999999993015</v>
      </c>
      <c r="N24" s="23">
        <v>75</v>
      </c>
      <c r="O24" s="38">
        <v>0</v>
      </c>
      <c r="P24" s="23">
        <v>507.2</v>
      </c>
      <c r="Q24" s="23">
        <v>0</v>
      </c>
      <c r="R24" s="23">
        <v>127512.84</v>
      </c>
      <c r="S24" s="23">
        <v>0.91800000000000004</v>
      </c>
      <c r="T24" s="9">
        <f t="shared" si="4"/>
        <v>0</v>
      </c>
      <c r="U24" s="10">
        <f t="shared" si="5"/>
        <v>235.17999999999302</v>
      </c>
      <c r="V24" s="35">
        <v>36</v>
      </c>
      <c r="W24" s="35">
        <v>38</v>
      </c>
      <c r="X24" s="35">
        <v>36</v>
      </c>
      <c r="Y24" s="11">
        <f t="shared" si="6"/>
        <v>110</v>
      </c>
      <c r="Z24" s="23">
        <v>65.63</v>
      </c>
      <c r="AA24" s="8">
        <f t="shared" si="7"/>
        <v>0</v>
      </c>
      <c r="AB24" s="23">
        <v>3023.48</v>
      </c>
      <c r="AC24" s="23">
        <v>0</v>
      </c>
      <c r="AD24" s="23">
        <v>18283</v>
      </c>
      <c r="AE24" s="8">
        <f t="shared" si="8"/>
        <v>1</v>
      </c>
      <c r="AF24" s="23">
        <v>1214.5</v>
      </c>
      <c r="AG24" s="23">
        <v>0</v>
      </c>
      <c r="AH24" s="14">
        <f t="shared" si="9"/>
        <v>110</v>
      </c>
      <c r="AI24" s="15">
        <f t="shared" si="10"/>
        <v>45.600000000000591</v>
      </c>
      <c r="AJ24" s="16">
        <f t="shared" si="11"/>
        <v>64.399999999999409</v>
      </c>
      <c r="AK24" s="17">
        <f t="shared" si="12"/>
        <v>236.17999999999302</v>
      </c>
      <c r="AL24" s="18">
        <f t="shared" si="13"/>
        <v>300.57999999999242</v>
      </c>
    </row>
    <row r="25" spans="1:38" ht="25.5" customHeight="1">
      <c r="A25" s="23" t="s">
        <v>106</v>
      </c>
      <c r="B25" s="35" t="s">
        <v>85</v>
      </c>
      <c r="C25" s="35" t="s">
        <v>85</v>
      </c>
      <c r="D25" s="23">
        <v>499.14</v>
      </c>
      <c r="E25" s="23">
        <v>151.93</v>
      </c>
      <c r="F25" s="23">
        <v>0.73699999999999999</v>
      </c>
      <c r="G25" s="23">
        <v>0.50700000000000001</v>
      </c>
      <c r="H25" s="23">
        <v>40</v>
      </c>
      <c r="I25" s="5">
        <f t="shared" si="0"/>
        <v>60.399999999999636</v>
      </c>
      <c r="J25" s="6">
        <f t="shared" si="1"/>
        <v>206.00000000000136</v>
      </c>
      <c r="K25" s="23">
        <v>76629.98</v>
      </c>
      <c r="L25" s="23">
        <v>0.98399999999999999</v>
      </c>
      <c r="M25" s="7">
        <f t="shared" si="2"/>
        <v>8.6500000000087311</v>
      </c>
      <c r="N25" s="23">
        <v>75</v>
      </c>
      <c r="O25" s="38">
        <v>0</v>
      </c>
      <c r="P25" s="23">
        <v>507.2</v>
      </c>
      <c r="Q25" s="23">
        <v>0</v>
      </c>
      <c r="R25" s="23">
        <v>127512.84</v>
      </c>
      <c r="S25" s="23">
        <v>0.91800000000000004</v>
      </c>
      <c r="T25" s="9">
        <f t="shared" si="4"/>
        <v>0</v>
      </c>
      <c r="U25" s="10">
        <f t="shared" si="5"/>
        <v>214.6500000000101</v>
      </c>
      <c r="V25" s="35">
        <v>54.63</v>
      </c>
      <c r="W25" s="35">
        <v>87.44</v>
      </c>
      <c r="X25" s="35">
        <v>88.37</v>
      </c>
      <c r="Y25" s="11">
        <f t="shared" si="6"/>
        <v>230.44</v>
      </c>
      <c r="Z25" s="23">
        <v>65.63</v>
      </c>
      <c r="AA25" s="8">
        <f t="shared" si="7"/>
        <v>0</v>
      </c>
      <c r="AB25" s="23">
        <v>3023.5</v>
      </c>
      <c r="AC25" s="23">
        <v>0</v>
      </c>
      <c r="AD25" s="23">
        <v>18284</v>
      </c>
      <c r="AE25" s="8">
        <f t="shared" si="8"/>
        <v>0</v>
      </c>
      <c r="AF25" s="23">
        <v>1214.5</v>
      </c>
      <c r="AG25" s="23">
        <v>0</v>
      </c>
      <c r="AH25" s="14">
        <f t="shared" si="9"/>
        <v>230.44</v>
      </c>
      <c r="AI25" s="15">
        <f t="shared" si="10"/>
        <v>60.399999999999636</v>
      </c>
      <c r="AJ25" s="16">
        <f t="shared" si="11"/>
        <v>170.04000000000036</v>
      </c>
      <c r="AK25" s="17">
        <f t="shared" si="12"/>
        <v>214.6500000000101</v>
      </c>
      <c r="AL25" s="18">
        <f t="shared" si="13"/>
        <v>384.69000000001046</v>
      </c>
    </row>
    <row r="26" spans="1:38" ht="25.5" customHeight="1">
      <c r="A26" s="23" t="s">
        <v>107</v>
      </c>
      <c r="B26" s="35" t="s">
        <v>85</v>
      </c>
      <c r="C26" s="35" t="s">
        <v>85</v>
      </c>
      <c r="D26" s="23">
        <v>504.29</v>
      </c>
      <c r="E26" s="23">
        <v>153.44</v>
      </c>
      <c r="F26" s="23">
        <v>0.73499999999999999</v>
      </c>
      <c r="G26" s="23">
        <v>0.50600000000000001</v>
      </c>
      <c r="H26" s="23">
        <v>40</v>
      </c>
      <c r="I26" s="5">
        <f t="shared" si="0"/>
        <v>79.199999999999591</v>
      </c>
      <c r="J26" s="6">
        <f t="shared" si="1"/>
        <v>254.39999999999827</v>
      </c>
      <c r="K26" s="23">
        <v>76638.63</v>
      </c>
      <c r="L26" s="23">
        <v>0.98399999999999999</v>
      </c>
      <c r="M26" s="7">
        <f t="shared" si="2"/>
        <v>17.69999999999709</v>
      </c>
      <c r="N26" s="23">
        <v>75</v>
      </c>
      <c r="O26" s="38">
        <v>0</v>
      </c>
      <c r="P26" s="23">
        <v>507.2</v>
      </c>
      <c r="Q26" s="23">
        <v>0</v>
      </c>
      <c r="R26" s="23">
        <v>127512.84</v>
      </c>
      <c r="S26" s="23">
        <v>0.91800000000000004</v>
      </c>
      <c r="T26" s="9">
        <f t="shared" si="4"/>
        <v>0</v>
      </c>
      <c r="U26" s="10">
        <f t="shared" si="5"/>
        <v>272.09999999999536</v>
      </c>
      <c r="V26" s="35">
        <v>47.16</v>
      </c>
      <c r="W26" s="35">
        <v>61.36</v>
      </c>
      <c r="X26" s="35">
        <v>69.069999999999993</v>
      </c>
      <c r="Y26" s="11">
        <f t="shared" si="6"/>
        <v>177.58999999999997</v>
      </c>
      <c r="Z26" s="23">
        <v>65.63</v>
      </c>
      <c r="AA26" s="8">
        <f t="shared" si="7"/>
        <v>0</v>
      </c>
      <c r="AB26" s="23">
        <v>3023.56</v>
      </c>
      <c r="AC26" s="23">
        <v>0</v>
      </c>
      <c r="AD26" s="23">
        <v>18284</v>
      </c>
      <c r="AE26" s="8">
        <f t="shared" si="8"/>
        <v>0</v>
      </c>
      <c r="AF26" s="23">
        <v>1214.5</v>
      </c>
      <c r="AG26" s="23">
        <v>0</v>
      </c>
      <c r="AH26" s="14">
        <f t="shared" si="9"/>
        <v>177.58999999999997</v>
      </c>
      <c r="AI26" s="15">
        <f t="shared" si="10"/>
        <v>79.199999999999591</v>
      </c>
      <c r="AJ26" s="16">
        <f t="shared" si="11"/>
        <v>98.390000000000384</v>
      </c>
      <c r="AK26" s="17">
        <f t="shared" si="12"/>
        <v>272.09999999999536</v>
      </c>
      <c r="AL26" s="18">
        <f t="shared" si="13"/>
        <v>370.48999999999575</v>
      </c>
    </row>
    <row r="27" spans="1:38" ht="25.5" customHeight="1">
      <c r="A27" s="23" t="s">
        <v>108</v>
      </c>
      <c r="B27" s="35" t="s">
        <v>85</v>
      </c>
      <c r="C27" s="35" t="s">
        <v>85</v>
      </c>
      <c r="D27" s="23">
        <v>510.65</v>
      </c>
      <c r="E27" s="23">
        <v>155.41999999999999</v>
      </c>
      <c r="F27" s="23">
        <v>0.73599999999999999</v>
      </c>
      <c r="G27" s="23">
        <v>0.52100000000000002</v>
      </c>
      <c r="H27" s="23">
        <v>40</v>
      </c>
      <c r="I27" s="5">
        <f t="shared" si="0"/>
        <v>65.200000000000955</v>
      </c>
      <c r="J27" s="6">
        <f t="shared" si="1"/>
        <v>255.59999999999945</v>
      </c>
      <c r="K27" s="23">
        <v>76656.33</v>
      </c>
      <c r="L27" s="23">
        <v>0.98399999999999999</v>
      </c>
      <c r="M27" s="7">
        <f t="shared" si="2"/>
        <v>15.5</v>
      </c>
      <c r="N27" s="23">
        <v>75</v>
      </c>
      <c r="O27" s="38">
        <v>0</v>
      </c>
      <c r="P27" s="23">
        <v>507.2</v>
      </c>
      <c r="Q27" s="23">
        <v>0</v>
      </c>
      <c r="R27" s="23">
        <v>127512.84</v>
      </c>
      <c r="S27" s="23">
        <v>0.91800000000000004</v>
      </c>
      <c r="T27" s="9">
        <f t="shared" si="4"/>
        <v>0</v>
      </c>
      <c r="U27" s="10">
        <f t="shared" si="5"/>
        <v>271.09999999999945</v>
      </c>
      <c r="V27" s="35">
        <v>55</v>
      </c>
      <c r="W27" s="35">
        <v>51</v>
      </c>
      <c r="X27" s="35">
        <v>55</v>
      </c>
      <c r="Y27" s="11">
        <f t="shared" si="6"/>
        <v>161</v>
      </c>
      <c r="Z27" s="23">
        <v>65.63</v>
      </c>
      <c r="AA27" s="8">
        <f t="shared" si="7"/>
        <v>0</v>
      </c>
      <c r="AB27" s="23">
        <v>3023.56</v>
      </c>
      <c r="AC27" s="23">
        <v>0</v>
      </c>
      <c r="AD27" s="23">
        <v>18284</v>
      </c>
      <c r="AE27" s="8">
        <f t="shared" si="8"/>
        <v>1</v>
      </c>
      <c r="AF27" s="23">
        <v>1214.5</v>
      </c>
      <c r="AG27" s="23">
        <v>0</v>
      </c>
      <c r="AH27" s="14">
        <f t="shared" si="9"/>
        <v>161</v>
      </c>
      <c r="AI27" s="15">
        <f t="shared" si="10"/>
        <v>65.200000000000955</v>
      </c>
      <c r="AJ27" s="16">
        <f t="shared" si="11"/>
        <v>95.799999999999045</v>
      </c>
      <c r="AK27" s="17">
        <f t="shared" si="12"/>
        <v>272.09999999999945</v>
      </c>
      <c r="AL27" s="18">
        <f t="shared" si="13"/>
        <v>367.8999999999985</v>
      </c>
    </row>
    <row r="28" spans="1:38" ht="25.5" customHeight="1">
      <c r="A28" s="23" t="s">
        <v>109</v>
      </c>
      <c r="B28" s="23">
        <v>6888</v>
      </c>
      <c r="C28" s="23">
        <v>136</v>
      </c>
      <c r="D28" s="23">
        <v>517.04</v>
      </c>
      <c r="E28" s="23">
        <v>157.05000000000001</v>
      </c>
      <c r="F28" s="23">
        <v>0.73699999999999999</v>
      </c>
      <c r="G28" s="23">
        <v>0.53300000000000003</v>
      </c>
      <c r="H28" s="23">
        <v>40</v>
      </c>
      <c r="I28" s="5">
        <f t="shared" si="0"/>
        <v>7.5999999999999091</v>
      </c>
      <c r="J28" s="6">
        <f t="shared" si="1"/>
        <v>272.40000000000236</v>
      </c>
      <c r="K28" s="23">
        <v>76671.83</v>
      </c>
      <c r="L28" s="23">
        <v>0.98399999999999999</v>
      </c>
      <c r="M28" s="7">
        <f t="shared" si="2"/>
        <v>14.75</v>
      </c>
      <c r="N28" s="23">
        <v>75</v>
      </c>
      <c r="O28" s="38">
        <v>0</v>
      </c>
      <c r="P28" s="23">
        <v>507.2</v>
      </c>
      <c r="Q28" s="23">
        <v>0</v>
      </c>
      <c r="R28" s="23">
        <v>127512.84</v>
      </c>
      <c r="S28" s="23">
        <v>0.91800000000000004</v>
      </c>
      <c r="T28" s="9">
        <f t="shared" si="4"/>
        <v>0</v>
      </c>
      <c r="U28" s="10">
        <f t="shared" si="5"/>
        <v>287.15000000000236</v>
      </c>
      <c r="V28" s="35">
        <v>35</v>
      </c>
      <c r="W28" s="35">
        <v>39</v>
      </c>
      <c r="X28" s="35">
        <v>35</v>
      </c>
      <c r="Y28" s="11">
        <f t="shared" si="6"/>
        <v>109</v>
      </c>
      <c r="Z28" s="23">
        <v>65.63</v>
      </c>
      <c r="AA28" s="8">
        <f t="shared" si="7"/>
        <v>0</v>
      </c>
      <c r="AB28" s="23">
        <v>3023.62</v>
      </c>
      <c r="AC28" s="23">
        <v>0</v>
      </c>
      <c r="AD28" s="23">
        <v>18285</v>
      </c>
      <c r="AE28" s="8">
        <f t="shared" si="8"/>
        <v>9</v>
      </c>
      <c r="AF28" s="23">
        <v>1214.8</v>
      </c>
      <c r="AG28" s="23">
        <v>0</v>
      </c>
      <c r="AH28" s="14">
        <f t="shared" si="9"/>
        <v>109</v>
      </c>
      <c r="AI28" s="15">
        <f t="shared" si="10"/>
        <v>7.5999999999999091</v>
      </c>
      <c r="AJ28" s="16">
        <f t="shared" si="11"/>
        <v>101.40000000000009</v>
      </c>
      <c r="AK28" s="17">
        <f t="shared" si="12"/>
        <v>296.15000000000236</v>
      </c>
      <c r="AL28" s="18">
        <f t="shared" si="13"/>
        <v>397.55000000000246</v>
      </c>
    </row>
    <row r="29" spans="1:38" ht="25.5" customHeight="1">
      <c r="A29" s="23" t="s">
        <v>110</v>
      </c>
      <c r="B29" s="23">
        <v>6999</v>
      </c>
      <c r="C29" s="23">
        <v>111</v>
      </c>
      <c r="D29" s="23">
        <v>523.85</v>
      </c>
      <c r="E29" s="23">
        <v>157.24</v>
      </c>
      <c r="F29" s="23">
        <v>0.73799999999999999</v>
      </c>
      <c r="G29" s="23">
        <v>0.53</v>
      </c>
      <c r="H29" s="23">
        <v>40</v>
      </c>
      <c r="I29" s="5">
        <f t="shared" si="0"/>
        <v>2.4000000000000909</v>
      </c>
      <c r="J29" s="6">
        <f t="shared" si="1"/>
        <v>332.79999999999745</v>
      </c>
      <c r="K29" s="23">
        <v>76686.58</v>
      </c>
      <c r="L29" s="23">
        <v>0.98399999999999999</v>
      </c>
      <c r="M29" s="7">
        <f t="shared" si="2"/>
        <v>10.020000000004075</v>
      </c>
      <c r="N29" s="23">
        <v>75</v>
      </c>
      <c r="O29" s="38">
        <v>0</v>
      </c>
      <c r="P29" s="23">
        <v>507.2</v>
      </c>
      <c r="Q29" s="23">
        <v>0</v>
      </c>
      <c r="R29" s="23">
        <v>127512.84</v>
      </c>
      <c r="S29" s="23">
        <v>0.91800000000000004</v>
      </c>
      <c r="T29" s="9">
        <f t="shared" si="4"/>
        <v>0</v>
      </c>
      <c r="U29" s="10">
        <f t="shared" si="5"/>
        <v>342.82000000000153</v>
      </c>
      <c r="V29" s="35">
        <v>19.38</v>
      </c>
      <c r="W29" s="35">
        <v>22.25</v>
      </c>
      <c r="X29" s="35">
        <v>26.6</v>
      </c>
      <c r="Y29" s="11">
        <f t="shared" si="6"/>
        <v>68.22999999999999</v>
      </c>
      <c r="Z29" s="23">
        <v>65.63</v>
      </c>
      <c r="AA29" s="8">
        <f t="shared" si="7"/>
        <v>0</v>
      </c>
      <c r="AB29" s="23">
        <v>3023.65</v>
      </c>
      <c r="AC29" s="23">
        <v>0</v>
      </c>
      <c r="AD29" s="23">
        <v>18294</v>
      </c>
      <c r="AE29" s="8">
        <f t="shared" si="8"/>
        <v>0</v>
      </c>
      <c r="AF29" s="23">
        <v>1215.5999999999999</v>
      </c>
      <c r="AG29" s="23">
        <v>0</v>
      </c>
      <c r="AH29" s="14">
        <f t="shared" si="9"/>
        <v>68.22999999999999</v>
      </c>
      <c r="AI29" s="15">
        <f t="shared" si="10"/>
        <v>2.4000000000000909</v>
      </c>
      <c r="AJ29" s="16">
        <f t="shared" si="11"/>
        <v>65.829999999999899</v>
      </c>
      <c r="AK29" s="17">
        <f t="shared" si="12"/>
        <v>342.82000000000153</v>
      </c>
      <c r="AL29" s="18">
        <f t="shared" si="13"/>
        <v>408.65000000000146</v>
      </c>
    </row>
    <row r="30" spans="1:38" ht="25.5" customHeight="1">
      <c r="A30" s="23" t="s">
        <v>111</v>
      </c>
      <c r="B30" s="23">
        <v>7160</v>
      </c>
      <c r="C30" s="23">
        <v>161</v>
      </c>
      <c r="D30" s="23">
        <v>532.16999999999996</v>
      </c>
      <c r="E30" s="23">
        <v>157.30000000000001</v>
      </c>
      <c r="F30" s="23">
        <v>0.78800000000000003</v>
      </c>
      <c r="G30" s="23">
        <v>0.52800000000000002</v>
      </c>
      <c r="H30" s="23">
        <v>40</v>
      </c>
      <c r="I30" s="5">
        <f t="shared" si="0"/>
        <v>0</v>
      </c>
      <c r="J30" s="6">
        <f t="shared" si="1"/>
        <v>396.40000000000327</v>
      </c>
      <c r="K30" s="23">
        <v>76696.600000000006</v>
      </c>
      <c r="L30" s="23">
        <v>0.98399999999999999</v>
      </c>
      <c r="M30" s="7">
        <f t="shared" si="2"/>
        <v>10</v>
      </c>
      <c r="N30" s="23">
        <v>75</v>
      </c>
      <c r="O30" s="38">
        <v>0</v>
      </c>
      <c r="P30" s="23">
        <v>507.2</v>
      </c>
      <c r="Q30" s="23">
        <v>0</v>
      </c>
      <c r="R30" s="23">
        <v>127512.84</v>
      </c>
      <c r="S30" s="23">
        <v>0.91800000000000004</v>
      </c>
      <c r="T30" s="9">
        <f t="shared" si="4"/>
        <v>0</v>
      </c>
      <c r="U30" s="10">
        <f t="shared" si="5"/>
        <v>406.40000000000327</v>
      </c>
      <c r="V30" s="35">
        <v>5</v>
      </c>
      <c r="W30" s="35">
        <v>6</v>
      </c>
      <c r="X30" s="35">
        <v>5</v>
      </c>
      <c r="Y30" s="11">
        <f t="shared" si="6"/>
        <v>16</v>
      </c>
      <c r="Z30" s="23">
        <v>65.63</v>
      </c>
      <c r="AA30" s="8">
        <f t="shared" si="7"/>
        <v>0</v>
      </c>
      <c r="AB30" s="23">
        <v>3023.7</v>
      </c>
      <c r="AC30" s="23">
        <v>0</v>
      </c>
      <c r="AD30" s="23">
        <v>18294</v>
      </c>
      <c r="AE30" s="8">
        <f t="shared" si="8"/>
        <v>1</v>
      </c>
      <c r="AF30" s="23">
        <v>1215.5999999999999</v>
      </c>
      <c r="AG30" s="23">
        <v>0</v>
      </c>
      <c r="AH30" s="14">
        <f t="shared" si="9"/>
        <v>16</v>
      </c>
      <c r="AI30" s="15">
        <f t="shared" si="10"/>
        <v>0</v>
      </c>
      <c r="AJ30" s="16">
        <f t="shared" si="11"/>
        <v>16</v>
      </c>
      <c r="AK30" s="17">
        <f t="shared" si="12"/>
        <v>407.40000000000327</v>
      </c>
      <c r="AL30" s="18">
        <f t="shared" si="13"/>
        <v>423.40000000000327</v>
      </c>
    </row>
    <row r="31" spans="1:38" ht="25.5" customHeight="1">
      <c r="A31" s="23" t="s">
        <v>112</v>
      </c>
      <c r="B31" s="23">
        <v>7332</v>
      </c>
      <c r="C31" s="23">
        <v>172</v>
      </c>
      <c r="D31" s="23">
        <v>542.08000000000004</v>
      </c>
      <c r="E31" s="23">
        <v>157.30000000000001</v>
      </c>
      <c r="F31" s="23">
        <v>0.74299999999999999</v>
      </c>
      <c r="G31" s="23">
        <v>0.52900000000000003</v>
      </c>
      <c r="H31" s="23">
        <v>40</v>
      </c>
      <c r="I31" s="5">
        <f t="shared" si="0"/>
        <v>0</v>
      </c>
      <c r="J31" s="6">
        <f t="shared" si="1"/>
        <v>333.19999999999709</v>
      </c>
      <c r="K31" s="23">
        <v>76706.600000000006</v>
      </c>
      <c r="L31" s="23">
        <v>0.98399999999999999</v>
      </c>
      <c r="M31" s="7">
        <f t="shared" si="2"/>
        <v>14</v>
      </c>
      <c r="N31" s="23">
        <v>75</v>
      </c>
      <c r="O31" s="38">
        <v>0</v>
      </c>
      <c r="P31" s="23">
        <v>507.2</v>
      </c>
      <c r="Q31" s="23">
        <v>0</v>
      </c>
      <c r="R31" s="23">
        <v>127512.84</v>
      </c>
      <c r="S31" s="23">
        <v>0.91800000000000004</v>
      </c>
      <c r="T31" s="9">
        <f t="shared" si="4"/>
        <v>0</v>
      </c>
      <c r="U31" s="10">
        <f t="shared" si="5"/>
        <v>347.19999999999709</v>
      </c>
      <c r="V31" s="35">
        <v>4</v>
      </c>
      <c r="W31" s="35">
        <v>5</v>
      </c>
      <c r="X31" s="35">
        <v>5</v>
      </c>
      <c r="Y31" s="11">
        <f t="shared" si="6"/>
        <v>14</v>
      </c>
      <c r="Z31" s="23">
        <v>65.63</v>
      </c>
      <c r="AA31" s="8">
        <f t="shared" si="7"/>
        <v>3.0000000000001137E-2</v>
      </c>
      <c r="AB31" s="23">
        <v>3024.23</v>
      </c>
      <c r="AC31" s="23">
        <v>0</v>
      </c>
      <c r="AD31" s="23">
        <v>18295</v>
      </c>
      <c r="AE31" s="8">
        <f t="shared" si="8"/>
        <v>9</v>
      </c>
      <c r="AF31" s="23">
        <v>1215.7</v>
      </c>
      <c r="AG31" s="23">
        <v>0</v>
      </c>
      <c r="AH31" s="14">
        <f t="shared" si="9"/>
        <v>14</v>
      </c>
      <c r="AI31" s="15">
        <f t="shared" si="10"/>
        <v>0</v>
      </c>
      <c r="AJ31" s="16">
        <f t="shared" si="11"/>
        <v>14</v>
      </c>
      <c r="AK31" s="17">
        <f t="shared" si="12"/>
        <v>356.22999999999706</v>
      </c>
      <c r="AL31" s="18">
        <f t="shared" si="13"/>
        <v>370.22999999999706</v>
      </c>
    </row>
    <row r="32" spans="1:38" ht="25.5" customHeight="1">
      <c r="A32" s="23" t="s">
        <v>113</v>
      </c>
      <c r="B32" s="23">
        <v>7456</v>
      </c>
      <c r="C32" s="23">
        <v>124</v>
      </c>
      <c r="D32" s="23">
        <v>550.41</v>
      </c>
      <c r="E32" s="23">
        <v>157.30000000000001</v>
      </c>
      <c r="F32" s="23">
        <v>0.746</v>
      </c>
      <c r="G32" s="23">
        <v>0.53</v>
      </c>
      <c r="H32" s="23">
        <v>40</v>
      </c>
      <c r="I32" s="5">
        <f t="shared" si="0"/>
        <v>13.599999999999</v>
      </c>
      <c r="J32" s="6">
        <f t="shared" si="1"/>
        <v>310</v>
      </c>
      <c r="K32" s="23">
        <v>76720.600000000006</v>
      </c>
      <c r="L32" s="23">
        <v>0.98399999999999999</v>
      </c>
      <c r="M32" s="7">
        <f t="shared" si="2"/>
        <v>20.079999999987194</v>
      </c>
      <c r="N32" s="23">
        <v>75</v>
      </c>
      <c r="O32" s="38">
        <v>0</v>
      </c>
      <c r="P32" s="23">
        <v>510</v>
      </c>
      <c r="Q32" s="23">
        <v>0</v>
      </c>
      <c r="R32" s="23">
        <v>127512.84</v>
      </c>
      <c r="S32" s="23">
        <v>0.91800000000000004</v>
      </c>
      <c r="T32" s="9">
        <f t="shared" si="4"/>
        <v>0</v>
      </c>
      <c r="U32" s="10">
        <f t="shared" si="5"/>
        <v>330.07999999998719</v>
      </c>
      <c r="V32" s="35">
        <v>14</v>
      </c>
      <c r="W32" s="35">
        <v>28</v>
      </c>
      <c r="X32" s="35">
        <v>32</v>
      </c>
      <c r="Y32" s="11">
        <f t="shared" si="6"/>
        <v>74</v>
      </c>
      <c r="Z32" s="23">
        <v>65.66</v>
      </c>
      <c r="AA32" s="8">
        <f t="shared" si="7"/>
        <v>3.0000000000001137E-2</v>
      </c>
      <c r="AB32" s="23">
        <v>3025.45</v>
      </c>
      <c r="AC32" s="23">
        <v>0</v>
      </c>
      <c r="AD32" s="23">
        <v>18304</v>
      </c>
      <c r="AE32" s="8">
        <f t="shared" si="8"/>
        <v>1</v>
      </c>
      <c r="AF32" s="23">
        <v>1216.7</v>
      </c>
      <c r="AG32" s="23">
        <v>0</v>
      </c>
      <c r="AH32" s="14">
        <f t="shared" si="9"/>
        <v>74</v>
      </c>
      <c r="AI32" s="15">
        <f t="shared" si="10"/>
        <v>13.599999999999</v>
      </c>
      <c r="AJ32" s="16">
        <f t="shared" si="11"/>
        <v>60.400000000001</v>
      </c>
      <c r="AK32" s="17">
        <f t="shared" si="12"/>
        <v>331.10999999998717</v>
      </c>
      <c r="AL32" s="18">
        <f t="shared" si="13"/>
        <v>391.50999999998817</v>
      </c>
    </row>
    <row r="33" spans="1:38" ht="25.5" customHeight="1">
      <c r="A33" s="23" t="s">
        <v>114</v>
      </c>
      <c r="B33" s="23">
        <v>7641</v>
      </c>
      <c r="C33" s="23">
        <v>185</v>
      </c>
      <c r="D33" s="23">
        <v>558.16</v>
      </c>
      <c r="E33" s="23">
        <v>157.63999999999999</v>
      </c>
      <c r="F33" s="23">
        <v>0.74399999999999999</v>
      </c>
      <c r="G33" s="23">
        <v>0.52800000000000002</v>
      </c>
      <c r="H33" s="23">
        <v>40</v>
      </c>
      <c r="I33" s="5">
        <f t="shared" si="0"/>
        <v>12.800000000000864</v>
      </c>
      <c r="J33" s="6">
        <f t="shared" si="1"/>
        <v>383.60000000000127</v>
      </c>
      <c r="K33" s="23">
        <v>76740.679999999993</v>
      </c>
      <c r="L33" s="23">
        <v>0.98399999999999999</v>
      </c>
      <c r="M33" s="7">
        <f t="shared" si="2"/>
        <v>14.920000000012806</v>
      </c>
      <c r="N33" s="23">
        <v>75</v>
      </c>
      <c r="O33" s="38">
        <v>0</v>
      </c>
      <c r="P33" s="23">
        <v>511</v>
      </c>
      <c r="Q33" s="23">
        <v>0</v>
      </c>
      <c r="R33" s="23">
        <v>127512.84</v>
      </c>
      <c r="S33" s="23">
        <v>0.91800000000000004</v>
      </c>
      <c r="T33" s="9">
        <f t="shared" si="4"/>
        <v>0</v>
      </c>
      <c r="U33" s="10">
        <f t="shared" si="5"/>
        <v>398.52000000001408</v>
      </c>
      <c r="V33" s="35">
        <v>20</v>
      </c>
      <c r="W33" s="35">
        <v>25</v>
      </c>
      <c r="X33" s="35">
        <v>46</v>
      </c>
      <c r="Y33" s="11">
        <f t="shared" si="6"/>
        <v>91</v>
      </c>
      <c r="Z33" s="23">
        <v>65.69</v>
      </c>
      <c r="AA33" s="8">
        <f t="shared" si="7"/>
        <v>0</v>
      </c>
      <c r="AB33" s="23">
        <v>3026.77</v>
      </c>
      <c r="AC33" s="23">
        <v>0</v>
      </c>
      <c r="AD33" s="23">
        <v>18305</v>
      </c>
      <c r="AE33" s="8">
        <f t="shared" si="8"/>
        <v>4</v>
      </c>
      <c r="AF33" s="23">
        <v>1216.8</v>
      </c>
      <c r="AG33" s="23">
        <v>0</v>
      </c>
      <c r="AH33" s="14">
        <f t="shared" si="9"/>
        <v>91</v>
      </c>
      <c r="AI33" s="15">
        <f t="shared" si="10"/>
        <v>12.800000000000864</v>
      </c>
      <c r="AJ33" s="16">
        <f t="shared" si="11"/>
        <v>78.199999999999136</v>
      </c>
      <c r="AK33" s="17">
        <f t="shared" si="12"/>
        <v>402.52000000001408</v>
      </c>
      <c r="AL33" s="18">
        <f t="shared" si="13"/>
        <v>480.72000000001321</v>
      </c>
    </row>
    <row r="34" spans="1:38" ht="25.5" customHeight="1">
      <c r="A34" s="23" t="s">
        <v>115</v>
      </c>
      <c r="B34" s="23">
        <v>7806</v>
      </c>
      <c r="C34" s="23">
        <v>165</v>
      </c>
      <c r="D34" s="23">
        <v>567.75</v>
      </c>
      <c r="E34" s="23">
        <v>157.96</v>
      </c>
      <c r="F34" s="23">
        <v>0.80700000000000005</v>
      </c>
      <c r="G34" s="23">
        <v>0.53</v>
      </c>
      <c r="H34" s="23">
        <v>40</v>
      </c>
      <c r="I34" s="5"/>
      <c r="J34" s="6"/>
      <c r="K34" s="23">
        <v>76755.600000000006</v>
      </c>
      <c r="L34" s="23">
        <v>0.98399999999999999</v>
      </c>
      <c r="M34" s="7"/>
      <c r="N34" s="23">
        <v>75</v>
      </c>
      <c r="O34" s="29"/>
      <c r="P34" s="23">
        <v>511</v>
      </c>
      <c r="Q34" s="23">
        <v>0</v>
      </c>
      <c r="R34" s="23">
        <v>127512.84</v>
      </c>
      <c r="S34" s="23">
        <v>0.91800000000000004</v>
      </c>
      <c r="T34" s="9"/>
      <c r="U34" s="10"/>
      <c r="V34" s="2"/>
      <c r="W34" s="2"/>
      <c r="X34" s="2"/>
      <c r="Y34" s="11"/>
      <c r="Z34" s="23">
        <v>65.69</v>
      </c>
      <c r="AA34" s="29"/>
      <c r="AB34" s="23">
        <v>3026.79</v>
      </c>
      <c r="AC34" s="23">
        <v>0</v>
      </c>
      <c r="AD34" s="23">
        <v>18309</v>
      </c>
      <c r="AE34" s="8"/>
      <c r="AF34" s="23">
        <v>1217.3</v>
      </c>
      <c r="AG34" s="23">
        <v>0</v>
      </c>
      <c r="AH34" s="36"/>
      <c r="AI34" s="21"/>
      <c r="AJ34" s="22"/>
      <c r="AK34" s="17"/>
      <c r="AL34" s="30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2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23" t="s">
        <v>114</v>
      </c>
      <c r="B3" s="35">
        <v>7641</v>
      </c>
      <c r="C3" s="35">
        <v>185</v>
      </c>
      <c r="D3" s="35">
        <v>558.16</v>
      </c>
      <c r="E3" s="35">
        <v>157.63999999999999</v>
      </c>
      <c r="F3" s="35">
        <v>0.74399999999999999</v>
      </c>
      <c r="G3" s="35">
        <v>0.52800000000000002</v>
      </c>
      <c r="H3" s="35">
        <v>40</v>
      </c>
      <c r="I3" s="5">
        <f t="shared" ref="I3:I25" si="0">(E4-E3)*40</f>
        <v>12.800000000000864</v>
      </c>
      <c r="J3" s="6">
        <f t="shared" ref="J3:J25" si="1">(D4-D3)*40</f>
        <v>383.60000000000127</v>
      </c>
      <c r="K3" s="35">
        <v>76740</v>
      </c>
      <c r="L3" s="35">
        <v>0.98699999999999999</v>
      </c>
      <c r="M3" s="7">
        <f t="shared" ref="M3:M25" si="2">(K4-K3)</f>
        <v>15</v>
      </c>
      <c r="N3" s="35">
        <v>75</v>
      </c>
      <c r="O3" s="8">
        <f t="shared" ref="O3:O25" si="3">(N4-N3)</f>
        <v>0</v>
      </c>
      <c r="P3" s="35">
        <v>511</v>
      </c>
      <c r="Q3" s="35">
        <v>0</v>
      </c>
      <c r="R3" s="35">
        <v>127512.84</v>
      </c>
      <c r="S3" s="35">
        <v>0.91800000000000004</v>
      </c>
      <c r="T3" s="9">
        <f t="shared" ref="T3:T25" si="4">(R4-R3)</f>
        <v>0</v>
      </c>
      <c r="U3" s="10">
        <f t="shared" ref="U3:U25" si="5">(J3+M3+O3+T3)</f>
        <v>398.60000000000127</v>
      </c>
      <c r="V3" s="23">
        <v>20</v>
      </c>
      <c r="W3" s="23">
        <v>25</v>
      </c>
      <c r="X3" s="23">
        <v>46</v>
      </c>
      <c r="Y3" s="11">
        <f t="shared" ref="Y3:Y25" si="6">SUM(V3:X3)</f>
        <v>91</v>
      </c>
      <c r="Z3" s="35">
        <v>65.69</v>
      </c>
      <c r="AA3" s="8">
        <f t="shared" ref="AA3:AA25" si="7">(Z4-Z3)</f>
        <v>0</v>
      </c>
      <c r="AB3" s="35">
        <v>3026.77</v>
      </c>
      <c r="AC3" s="35">
        <v>0</v>
      </c>
      <c r="AD3" s="35">
        <v>18305</v>
      </c>
      <c r="AE3" s="8">
        <f t="shared" ref="AE3:AE25" si="8">(AD4-AD3)</f>
        <v>4</v>
      </c>
      <c r="AF3" s="35">
        <v>1216.8</v>
      </c>
      <c r="AG3" s="35">
        <v>0</v>
      </c>
      <c r="AH3" s="14">
        <f t="shared" ref="AH3:AH25" si="9">Y3</f>
        <v>91</v>
      </c>
      <c r="AI3" s="15">
        <f t="shared" ref="AI3:AI25" si="10">I3</f>
        <v>12.800000000000864</v>
      </c>
      <c r="AJ3" s="16">
        <f t="shared" ref="AJ3:AJ25" si="11">(AH3-AI3)</f>
        <v>78.199999999999136</v>
      </c>
      <c r="AK3" s="17">
        <f t="shared" ref="AK3:AK25" si="12">(U3+AA3+AE3)</f>
        <v>402.60000000000127</v>
      </c>
      <c r="AL3" s="18">
        <f t="shared" ref="AL3:AL25" si="13">(AJ3+AK3)</f>
        <v>480.80000000000041</v>
      </c>
    </row>
    <row r="4" spans="1:38" ht="25.5" customHeight="1">
      <c r="A4" s="23" t="s">
        <v>115</v>
      </c>
      <c r="B4" s="35">
        <v>7806</v>
      </c>
      <c r="C4" s="35">
        <v>165</v>
      </c>
      <c r="D4" s="23">
        <v>567.75</v>
      </c>
      <c r="E4" s="23">
        <v>157.96</v>
      </c>
      <c r="F4" s="23">
        <v>0.80700000000000005</v>
      </c>
      <c r="G4" s="23">
        <v>0.53</v>
      </c>
      <c r="H4" s="23">
        <v>40</v>
      </c>
      <c r="I4" s="5">
        <f t="shared" si="0"/>
        <v>30.799999999999272</v>
      </c>
      <c r="J4" s="6">
        <f t="shared" si="1"/>
        <v>254.00000000000091</v>
      </c>
      <c r="K4" s="23">
        <v>76755</v>
      </c>
      <c r="L4" s="23">
        <v>0.98699999999999999</v>
      </c>
      <c r="M4" s="7">
        <f t="shared" si="2"/>
        <v>20</v>
      </c>
      <c r="N4" s="35">
        <v>75</v>
      </c>
      <c r="O4" s="8">
        <f t="shared" si="3"/>
        <v>0</v>
      </c>
      <c r="P4" s="23">
        <v>512</v>
      </c>
      <c r="Q4" s="23">
        <v>0</v>
      </c>
      <c r="R4" s="23">
        <v>127512.84</v>
      </c>
      <c r="S4" s="23">
        <v>0.91800000000000004</v>
      </c>
      <c r="T4" s="9">
        <f t="shared" si="4"/>
        <v>0</v>
      </c>
      <c r="U4" s="10">
        <f t="shared" si="5"/>
        <v>274.00000000000091</v>
      </c>
      <c r="V4" s="35">
        <v>37</v>
      </c>
      <c r="W4" s="35">
        <v>27</v>
      </c>
      <c r="X4" s="35">
        <v>55</v>
      </c>
      <c r="Y4" s="11">
        <f t="shared" si="6"/>
        <v>119</v>
      </c>
      <c r="Z4" s="23">
        <v>65.69</v>
      </c>
      <c r="AA4" s="8">
        <f t="shared" si="7"/>
        <v>0</v>
      </c>
      <c r="AB4" s="23">
        <v>3026.79</v>
      </c>
      <c r="AC4" s="23">
        <v>0</v>
      </c>
      <c r="AD4" s="23">
        <v>18309</v>
      </c>
      <c r="AE4" s="8">
        <f t="shared" si="8"/>
        <v>3</v>
      </c>
      <c r="AF4" s="23">
        <v>1217.3</v>
      </c>
      <c r="AG4" s="23">
        <v>0</v>
      </c>
      <c r="AH4" s="14">
        <f t="shared" si="9"/>
        <v>119</v>
      </c>
      <c r="AI4" s="15">
        <f t="shared" si="10"/>
        <v>30.799999999999272</v>
      </c>
      <c r="AJ4" s="16">
        <f t="shared" si="11"/>
        <v>88.200000000000728</v>
      </c>
      <c r="AK4" s="17">
        <f t="shared" si="12"/>
        <v>277.00000000000091</v>
      </c>
      <c r="AL4" s="18">
        <f t="shared" si="13"/>
        <v>365.20000000000164</v>
      </c>
    </row>
    <row r="5" spans="1:38" ht="25.5" customHeight="1">
      <c r="A5" s="23" t="s">
        <v>116</v>
      </c>
      <c r="B5" s="35">
        <v>7908</v>
      </c>
      <c r="C5" s="35">
        <v>102</v>
      </c>
      <c r="D5" s="23">
        <v>574.1</v>
      </c>
      <c r="E5" s="23">
        <v>158.72999999999999</v>
      </c>
      <c r="F5" s="23">
        <v>0.78300000000000003</v>
      </c>
      <c r="G5" s="23">
        <v>0.54200000000000004</v>
      </c>
      <c r="H5" s="23">
        <v>40</v>
      </c>
      <c r="I5" s="5">
        <f t="shared" si="0"/>
        <v>12.000000000000455</v>
      </c>
      <c r="J5" s="6">
        <f t="shared" si="1"/>
        <v>265.59999999999945</v>
      </c>
      <c r="K5" s="23">
        <v>76775</v>
      </c>
      <c r="L5" s="23">
        <v>0.98699999999999999</v>
      </c>
      <c r="M5" s="7">
        <f t="shared" si="2"/>
        <v>10</v>
      </c>
      <c r="N5" s="35">
        <v>75</v>
      </c>
      <c r="O5" s="8">
        <f t="shared" si="3"/>
        <v>0</v>
      </c>
      <c r="P5" s="23">
        <v>512</v>
      </c>
      <c r="Q5" s="23">
        <v>0</v>
      </c>
      <c r="R5" s="23">
        <v>127512.84</v>
      </c>
      <c r="S5" s="23">
        <v>0.91800000000000004</v>
      </c>
      <c r="T5" s="9">
        <f t="shared" si="4"/>
        <v>0</v>
      </c>
      <c r="U5" s="10">
        <f t="shared" si="5"/>
        <v>275.59999999999945</v>
      </c>
      <c r="V5" s="35">
        <v>17.739999999999998</v>
      </c>
      <c r="W5" s="35">
        <v>28.1</v>
      </c>
      <c r="X5" s="35">
        <v>47</v>
      </c>
      <c r="Y5" s="11">
        <f t="shared" si="6"/>
        <v>92.84</v>
      </c>
      <c r="Z5" s="23">
        <v>65.69</v>
      </c>
      <c r="AA5" s="8">
        <f t="shared" si="7"/>
        <v>0</v>
      </c>
      <c r="AB5" s="23">
        <v>3026.82</v>
      </c>
      <c r="AC5" s="23">
        <v>0</v>
      </c>
      <c r="AD5" s="23">
        <v>18312</v>
      </c>
      <c r="AE5" s="8">
        <f t="shared" si="8"/>
        <v>0</v>
      </c>
      <c r="AF5" s="23">
        <v>1217.8</v>
      </c>
      <c r="AG5" s="23">
        <v>0</v>
      </c>
      <c r="AH5" s="14">
        <f t="shared" si="9"/>
        <v>92.84</v>
      </c>
      <c r="AI5" s="15">
        <f t="shared" si="10"/>
        <v>12.000000000000455</v>
      </c>
      <c r="AJ5" s="16">
        <f t="shared" si="11"/>
        <v>80.839999999999549</v>
      </c>
      <c r="AK5" s="17">
        <f t="shared" si="12"/>
        <v>275.59999999999945</v>
      </c>
      <c r="AL5" s="18">
        <f t="shared" si="13"/>
        <v>356.43999999999903</v>
      </c>
    </row>
    <row r="6" spans="1:38" ht="25.5" customHeight="1">
      <c r="A6" s="23" t="s">
        <v>117</v>
      </c>
      <c r="B6" s="35">
        <v>8000.32</v>
      </c>
      <c r="C6" s="35">
        <v>92.29</v>
      </c>
      <c r="D6" s="23">
        <v>580.74</v>
      </c>
      <c r="E6" s="23">
        <v>159.03</v>
      </c>
      <c r="F6" s="23">
        <v>0.75700000000000001</v>
      </c>
      <c r="G6" s="23">
        <v>0.54</v>
      </c>
      <c r="H6" s="23">
        <v>40</v>
      </c>
      <c r="I6" s="5">
        <f t="shared" si="0"/>
        <v>72.400000000000091</v>
      </c>
      <c r="J6" s="6">
        <f t="shared" si="1"/>
        <v>398.00000000000182</v>
      </c>
      <c r="K6" s="23">
        <v>76785</v>
      </c>
      <c r="L6" s="23">
        <v>0.98699999999999999</v>
      </c>
      <c r="M6" s="7">
        <f t="shared" si="2"/>
        <v>15</v>
      </c>
      <c r="N6" s="23">
        <v>75</v>
      </c>
      <c r="O6" s="8">
        <f t="shared" si="3"/>
        <v>0</v>
      </c>
      <c r="P6" s="23">
        <v>512</v>
      </c>
      <c r="Q6" s="23">
        <v>0</v>
      </c>
      <c r="R6" s="23">
        <v>127512.84</v>
      </c>
      <c r="S6" s="23">
        <v>0.91800000000000004</v>
      </c>
      <c r="T6" s="9">
        <f t="shared" si="4"/>
        <v>0</v>
      </c>
      <c r="U6" s="10">
        <f t="shared" si="5"/>
        <v>413.00000000000182</v>
      </c>
      <c r="V6" s="35">
        <v>34</v>
      </c>
      <c r="W6" s="35">
        <v>46</v>
      </c>
      <c r="X6" s="35">
        <v>49</v>
      </c>
      <c r="Y6" s="11">
        <f t="shared" si="6"/>
        <v>129</v>
      </c>
      <c r="Z6" s="23">
        <v>65.69</v>
      </c>
      <c r="AA6" s="8">
        <f t="shared" si="7"/>
        <v>3.0000000000001137E-2</v>
      </c>
      <c r="AB6" s="23">
        <v>3026.83</v>
      </c>
      <c r="AC6" s="23">
        <v>50</v>
      </c>
      <c r="AD6" s="23">
        <v>18312</v>
      </c>
      <c r="AE6" s="8">
        <f t="shared" si="8"/>
        <v>17</v>
      </c>
      <c r="AF6" s="23">
        <v>1217.8</v>
      </c>
      <c r="AG6" s="23">
        <v>50</v>
      </c>
      <c r="AH6" s="14">
        <f t="shared" si="9"/>
        <v>129</v>
      </c>
      <c r="AI6" s="15">
        <f t="shared" si="10"/>
        <v>72.400000000000091</v>
      </c>
      <c r="AJ6" s="16">
        <f t="shared" si="11"/>
        <v>56.599999999999909</v>
      </c>
      <c r="AK6" s="17">
        <f t="shared" si="12"/>
        <v>430.03000000000179</v>
      </c>
      <c r="AL6" s="18">
        <f t="shared" si="13"/>
        <v>486.6300000000017</v>
      </c>
    </row>
    <row r="7" spans="1:38" ht="25.5" customHeight="1">
      <c r="A7" s="23" t="s">
        <v>118</v>
      </c>
      <c r="B7" s="35">
        <v>8203.24</v>
      </c>
      <c r="C7" s="35">
        <v>202.95</v>
      </c>
      <c r="D7" s="23">
        <v>590.69000000000005</v>
      </c>
      <c r="E7" s="23">
        <v>160.84</v>
      </c>
      <c r="F7" s="23">
        <v>0.73799999999999999</v>
      </c>
      <c r="G7" s="23">
        <v>0.53</v>
      </c>
      <c r="H7" s="23">
        <v>40</v>
      </c>
      <c r="I7" s="5">
        <f t="shared" si="0"/>
        <v>94.399999999999409</v>
      </c>
      <c r="J7" s="6">
        <f t="shared" si="1"/>
        <v>144.399999999996</v>
      </c>
      <c r="K7" s="23">
        <v>76800</v>
      </c>
      <c r="L7" s="23">
        <v>0.98699999999999999</v>
      </c>
      <c r="M7" s="7">
        <f t="shared" si="2"/>
        <v>10</v>
      </c>
      <c r="N7" s="23">
        <v>75</v>
      </c>
      <c r="O7" s="8">
        <f t="shared" si="3"/>
        <v>2</v>
      </c>
      <c r="P7" s="23">
        <v>513</v>
      </c>
      <c r="Q7" s="23">
        <v>0</v>
      </c>
      <c r="R7" s="23">
        <v>127512.84</v>
      </c>
      <c r="S7" s="23">
        <v>0.91800000000000004</v>
      </c>
      <c r="T7" s="9">
        <f t="shared" si="4"/>
        <v>0</v>
      </c>
      <c r="U7" s="10">
        <f t="shared" si="5"/>
        <v>156.399999999996</v>
      </c>
      <c r="V7" s="35">
        <v>70</v>
      </c>
      <c r="W7" s="35">
        <v>90</v>
      </c>
      <c r="X7" s="35">
        <v>95</v>
      </c>
      <c r="Y7" s="11">
        <f t="shared" si="6"/>
        <v>255</v>
      </c>
      <c r="Z7" s="23">
        <v>65.72</v>
      </c>
      <c r="AA7" s="8">
        <f t="shared" si="7"/>
        <v>0</v>
      </c>
      <c r="AB7" s="23">
        <v>3027.92</v>
      </c>
      <c r="AC7" s="23">
        <v>0</v>
      </c>
      <c r="AD7" s="23">
        <v>18329</v>
      </c>
      <c r="AE7" s="8">
        <f t="shared" si="8"/>
        <v>1</v>
      </c>
      <c r="AF7" s="23">
        <v>1221.3</v>
      </c>
      <c r="AG7" s="23">
        <v>0</v>
      </c>
      <c r="AH7" s="14">
        <f t="shared" si="9"/>
        <v>255</v>
      </c>
      <c r="AI7" s="15">
        <f t="shared" si="10"/>
        <v>94.399999999999409</v>
      </c>
      <c r="AJ7" s="16">
        <f t="shared" si="11"/>
        <v>160.60000000000059</v>
      </c>
      <c r="AK7" s="17">
        <f t="shared" si="12"/>
        <v>157.399999999996</v>
      </c>
      <c r="AL7" s="18">
        <f t="shared" si="13"/>
        <v>317.99999999999659</v>
      </c>
    </row>
    <row r="8" spans="1:38" ht="25.5" customHeight="1">
      <c r="A8" s="23" t="s">
        <v>119</v>
      </c>
      <c r="B8" s="35">
        <v>8273.3799999999992</v>
      </c>
      <c r="C8" s="35">
        <v>70</v>
      </c>
      <c r="D8" s="23">
        <v>594.29999999999995</v>
      </c>
      <c r="E8" s="23">
        <v>163.19999999999999</v>
      </c>
      <c r="F8" s="23">
        <v>0.73199999999999998</v>
      </c>
      <c r="G8" s="23">
        <v>0.58699999999999997</v>
      </c>
      <c r="H8" s="23">
        <v>40</v>
      </c>
      <c r="I8" s="5">
        <f t="shared" si="0"/>
        <v>148.00000000000068</v>
      </c>
      <c r="J8" s="6">
        <f t="shared" si="1"/>
        <v>194.40000000000055</v>
      </c>
      <c r="K8" s="23">
        <v>76810</v>
      </c>
      <c r="L8" s="23">
        <v>0.98699999999999999</v>
      </c>
      <c r="M8" s="7">
        <f t="shared" si="2"/>
        <v>14</v>
      </c>
      <c r="N8" s="23">
        <v>77</v>
      </c>
      <c r="O8" s="8">
        <f t="shared" si="3"/>
        <v>0</v>
      </c>
      <c r="P8" s="23">
        <v>512</v>
      </c>
      <c r="Q8" s="23">
        <v>0</v>
      </c>
      <c r="R8" s="23">
        <v>127512.84</v>
      </c>
      <c r="S8" s="23">
        <v>0.91800000000000004</v>
      </c>
      <c r="T8" s="9">
        <f t="shared" si="4"/>
        <v>0</v>
      </c>
      <c r="U8" s="10">
        <f t="shared" si="5"/>
        <v>208.40000000000055</v>
      </c>
      <c r="V8" s="35">
        <v>118</v>
      </c>
      <c r="W8" s="35">
        <v>126</v>
      </c>
      <c r="X8" s="35">
        <v>108</v>
      </c>
      <c r="Y8" s="11">
        <f t="shared" si="6"/>
        <v>352</v>
      </c>
      <c r="Z8" s="23">
        <v>65.72</v>
      </c>
      <c r="AA8" s="8">
        <f t="shared" si="7"/>
        <v>0</v>
      </c>
      <c r="AB8" s="23">
        <v>3027.93</v>
      </c>
      <c r="AC8" s="23">
        <v>0</v>
      </c>
      <c r="AD8" s="23">
        <v>18330</v>
      </c>
      <c r="AE8" s="8">
        <f t="shared" si="8"/>
        <v>1</v>
      </c>
      <c r="AF8" s="23">
        <v>1221.4000000000001</v>
      </c>
      <c r="AG8" s="23">
        <v>0</v>
      </c>
      <c r="AH8" s="14">
        <f t="shared" si="9"/>
        <v>352</v>
      </c>
      <c r="AI8" s="15">
        <f t="shared" si="10"/>
        <v>148.00000000000068</v>
      </c>
      <c r="AJ8" s="16">
        <f t="shared" si="11"/>
        <v>203.99999999999932</v>
      </c>
      <c r="AK8" s="17">
        <f t="shared" si="12"/>
        <v>209.40000000000055</v>
      </c>
      <c r="AL8" s="18">
        <f t="shared" si="13"/>
        <v>413.39999999999986</v>
      </c>
    </row>
    <row r="9" spans="1:38" ht="25.5" customHeight="1">
      <c r="A9" s="23" t="s">
        <v>120</v>
      </c>
      <c r="B9" s="35">
        <v>8335.33</v>
      </c>
      <c r="C9" s="35">
        <v>62</v>
      </c>
      <c r="D9" s="23">
        <v>599.16</v>
      </c>
      <c r="E9" s="23">
        <v>166.9</v>
      </c>
      <c r="F9" s="23">
        <v>0.74</v>
      </c>
      <c r="G9" s="23">
        <v>0.58499999999999996</v>
      </c>
      <c r="H9" s="23">
        <v>40</v>
      </c>
      <c r="I9" s="5">
        <f t="shared" si="0"/>
        <v>55.599999999999454</v>
      </c>
      <c r="J9" s="6">
        <f t="shared" si="1"/>
        <v>187.60000000000218</v>
      </c>
      <c r="K9" s="23">
        <v>76824</v>
      </c>
      <c r="L9" s="23">
        <v>0.98699999999999999</v>
      </c>
      <c r="M9" s="7">
        <f t="shared" si="2"/>
        <v>2</v>
      </c>
      <c r="N9" s="23">
        <v>77</v>
      </c>
      <c r="O9" s="8">
        <f t="shared" si="3"/>
        <v>1</v>
      </c>
      <c r="P9" s="23">
        <v>512</v>
      </c>
      <c r="Q9" s="23">
        <v>0</v>
      </c>
      <c r="R9" s="23">
        <v>127512.84</v>
      </c>
      <c r="S9" s="23">
        <v>0.91800000000000004</v>
      </c>
      <c r="T9" s="9">
        <f t="shared" si="4"/>
        <v>0</v>
      </c>
      <c r="U9" s="10">
        <f t="shared" si="5"/>
        <v>190.60000000000218</v>
      </c>
      <c r="V9" s="35">
        <v>57</v>
      </c>
      <c r="W9" s="35">
        <v>68</v>
      </c>
      <c r="X9" s="35">
        <v>65</v>
      </c>
      <c r="Y9" s="11">
        <f t="shared" si="6"/>
        <v>190</v>
      </c>
      <c r="Z9" s="23">
        <v>65.72</v>
      </c>
      <c r="AA9" s="8">
        <f t="shared" si="7"/>
        <v>0</v>
      </c>
      <c r="AB9" s="23">
        <v>3027.94</v>
      </c>
      <c r="AC9" s="23">
        <v>0</v>
      </c>
      <c r="AD9" s="23">
        <v>18331</v>
      </c>
      <c r="AE9" s="8">
        <f t="shared" si="8"/>
        <v>5</v>
      </c>
      <c r="AF9" s="23">
        <v>1221.5999999999999</v>
      </c>
      <c r="AG9" s="23">
        <v>0</v>
      </c>
      <c r="AH9" s="14">
        <f t="shared" si="9"/>
        <v>190</v>
      </c>
      <c r="AI9" s="15">
        <f t="shared" si="10"/>
        <v>55.599999999999454</v>
      </c>
      <c r="AJ9" s="16">
        <f t="shared" si="11"/>
        <v>134.40000000000055</v>
      </c>
      <c r="AK9" s="17">
        <f t="shared" si="12"/>
        <v>195.60000000000218</v>
      </c>
      <c r="AL9" s="18">
        <f t="shared" si="13"/>
        <v>330.00000000000273</v>
      </c>
    </row>
    <row r="10" spans="1:38" ht="25.5" customHeight="1">
      <c r="A10" s="23" t="s">
        <v>121</v>
      </c>
      <c r="B10" s="35">
        <v>8407.6</v>
      </c>
      <c r="C10" s="35">
        <v>72</v>
      </c>
      <c r="D10" s="23">
        <v>603.85</v>
      </c>
      <c r="E10" s="23">
        <v>168.29</v>
      </c>
      <c r="F10" s="23">
        <v>0.73699999999999999</v>
      </c>
      <c r="G10" s="23">
        <v>0.54400000000000004</v>
      </c>
      <c r="H10" s="23">
        <v>40</v>
      </c>
      <c r="I10" s="5">
        <f t="shared" si="0"/>
        <v>8.7999999999999545</v>
      </c>
      <c r="J10" s="6">
        <f t="shared" si="1"/>
        <v>273.19999999999709</v>
      </c>
      <c r="K10" s="23">
        <v>76826</v>
      </c>
      <c r="L10" s="23">
        <v>0.98699999999999999</v>
      </c>
      <c r="M10" s="7">
        <f t="shared" si="2"/>
        <v>4.5500000000029104</v>
      </c>
      <c r="N10" s="23">
        <v>78</v>
      </c>
      <c r="O10" s="8">
        <f t="shared" si="3"/>
        <v>0</v>
      </c>
      <c r="P10" s="23">
        <v>513</v>
      </c>
      <c r="Q10" s="23">
        <v>0</v>
      </c>
      <c r="R10" s="23">
        <v>127512.84</v>
      </c>
      <c r="S10" s="23">
        <v>0.91800000000000004</v>
      </c>
      <c r="T10" s="9">
        <f t="shared" si="4"/>
        <v>0</v>
      </c>
      <c r="U10" s="10">
        <f t="shared" si="5"/>
        <v>277.75</v>
      </c>
      <c r="V10" s="35">
        <v>46</v>
      </c>
      <c r="W10" s="35">
        <v>54</v>
      </c>
      <c r="X10" s="35">
        <v>53</v>
      </c>
      <c r="Y10" s="11">
        <f t="shared" si="6"/>
        <v>153</v>
      </c>
      <c r="Z10" s="23">
        <v>65.72</v>
      </c>
      <c r="AA10" s="8">
        <f t="shared" si="7"/>
        <v>0</v>
      </c>
      <c r="AB10" s="23">
        <v>3027.95</v>
      </c>
      <c r="AC10" s="23">
        <v>0</v>
      </c>
      <c r="AD10" s="23">
        <v>18336</v>
      </c>
      <c r="AE10" s="8">
        <f t="shared" si="8"/>
        <v>2</v>
      </c>
      <c r="AF10" s="23">
        <v>1222.2</v>
      </c>
      <c r="AG10" s="23">
        <v>0</v>
      </c>
      <c r="AH10" s="14">
        <f t="shared" si="9"/>
        <v>153</v>
      </c>
      <c r="AI10" s="15">
        <f t="shared" si="10"/>
        <v>8.7999999999999545</v>
      </c>
      <c r="AJ10" s="16">
        <f t="shared" si="11"/>
        <v>144.20000000000005</v>
      </c>
      <c r="AK10" s="17">
        <f t="shared" si="12"/>
        <v>279.75</v>
      </c>
      <c r="AL10" s="18">
        <f t="shared" si="13"/>
        <v>423.95000000000005</v>
      </c>
    </row>
    <row r="11" spans="1:38" ht="25.5" customHeight="1">
      <c r="A11" s="23" t="s">
        <v>122</v>
      </c>
      <c r="B11" s="35">
        <v>8525.36</v>
      </c>
      <c r="C11" s="35">
        <v>118</v>
      </c>
      <c r="D11" s="23">
        <v>610.67999999999995</v>
      </c>
      <c r="E11" s="23">
        <v>168.51</v>
      </c>
      <c r="F11" s="23">
        <v>0.73</v>
      </c>
      <c r="G11" s="23">
        <v>0.54</v>
      </c>
      <c r="H11" s="23">
        <v>40</v>
      </c>
      <c r="I11" s="5">
        <f t="shared" si="0"/>
        <v>17.599999999999909</v>
      </c>
      <c r="J11" s="6">
        <f t="shared" si="1"/>
        <v>200.40000000000418</v>
      </c>
      <c r="K11" s="23">
        <v>76830.55</v>
      </c>
      <c r="L11" s="23">
        <v>0.98699999999999999</v>
      </c>
      <c r="M11" s="7">
        <f t="shared" si="2"/>
        <v>1.0099999999947613</v>
      </c>
      <c r="N11" s="23">
        <v>78</v>
      </c>
      <c r="O11" s="8">
        <f t="shared" si="3"/>
        <v>0</v>
      </c>
      <c r="P11" s="23">
        <v>513</v>
      </c>
      <c r="Q11" s="23">
        <v>0</v>
      </c>
      <c r="R11" s="23">
        <v>127512.84</v>
      </c>
      <c r="S11" s="23">
        <v>0.91800000000000004</v>
      </c>
      <c r="T11" s="9">
        <f t="shared" si="4"/>
        <v>0</v>
      </c>
      <c r="U11" s="10">
        <f t="shared" si="5"/>
        <v>201.40999999999894</v>
      </c>
      <c r="V11" s="35">
        <v>38</v>
      </c>
      <c r="W11" s="35">
        <v>35</v>
      </c>
      <c r="X11" s="35">
        <v>46</v>
      </c>
      <c r="Y11" s="11">
        <f t="shared" si="6"/>
        <v>119</v>
      </c>
      <c r="Z11" s="23">
        <v>65.72</v>
      </c>
      <c r="AA11" s="8">
        <f t="shared" si="7"/>
        <v>0</v>
      </c>
      <c r="AB11" s="23">
        <v>3027.97</v>
      </c>
      <c r="AC11" s="23">
        <v>0</v>
      </c>
      <c r="AD11" s="23">
        <v>18338</v>
      </c>
      <c r="AE11" s="8">
        <f t="shared" si="8"/>
        <v>15</v>
      </c>
      <c r="AF11" s="23">
        <v>1222.4000000000001</v>
      </c>
      <c r="AG11" s="23">
        <v>0</v>
      </c>
      <c r="AH11" s="14">
        <f t="shared" si="9"/>
        <v>119</v>
      </c>
      <c r="AI11" s="15">
        <f t="shared" si="10"/>
        <v>17.599999999999909</v>
      </c>
      <c r="AJ11" s="16">
        <f t="shared" si="11"/>
        <v>101.40000000000009</v>
      </c>
      <c r="AK11" s="17">
        <f t="shared" si="12"/>
        <v>216.40999999999894</v>
      </c>
      <c r="AL11" s="18">
        <f t="shared" si="13"/>
        <v>317.80999999999904</v>
      </c>
    </row>
    <row r="12" spans="1:38" ht="25.5" customHeight="1">
      <c r="A12" s="23" t="s">
        <v>123</v>
      </c>
      <c r="B12" s="35">
        <v>8620.7099999999991</v>
      </c>
      <c r="C12" s="35">
        <v>95</v>
      </c>
      <c r="D12" s="23">
        <v>615.69000000000005</v>
      </c>
      <c r="E12" s="23">
        <v>168.95</v>
      </c>
      <c r="F12" s="23">
        <v>0.72399999999999998</v>
      </c>
      <c r="G12" s="23">
        <v>0.54</v>
      </c>
      <c r="H12" s="23">
        <v>40</v>
      </c>
      <c r="I12" s="5">
        <f t="shared" si="0"/>
        <v>8.7999999999999545</v>
      </c>
      <c r="J12" s="6">
        <f t="shared" si="1"/>
        <v>538.39999999999691</v>
      </c>
      <c r="K12" s="23">
        <v>76831.56</v>
      </c>
      <c r="L12" s="23">
        <v>0.98699999999999999</v>
      </c>
      <c r="M12" s="7">
        <f t="shared" si="2"/>
        <v>2.0400000000081491</v>
      </c>
      <c r="N12" s="23">
        <v>78</v>
      </c>
      <c r="O12" s="8">
        <f t="shared" si="3"/>
        <v>0</v>
      </c>
      <c r="P12" s="23">
        <v>513</v>
      </c>
      <c r="Q12" s="23">
        <v>0</v>
      </c>
      <c r="R12" s="23">
        <v>127512.84</v>
      </c>
      <c r="S12" s="23">
        <v>0.91800000000000004</v>
      </c>
      <c r="T12" s="9">
        <f t="shared" si="4"/>
        <v>0</v>
      </c>
      <c r="U12" s="10">
        <f t="shared" si="5"/>
        <v>540.44000000000506</v>
      </c>
      <c r="V12" s="35">
        <v>34</v>
      </c>
      <c r="W12" s="35">
        <v>37</v>
      </c>
      <c r="X12" s="35">
        <v>50</v>
      </c>
      <c r="Y12" s="11">
        <f t="shared" si="6"/>
        <v>121</v>
      </c>
      <c r="Z12" s="23">
        <v>65.72</v>
      </c>
      <c r="AA12" s="8">
        <f t="shared" si="7"/>
        <v>1.0000000000005116E-2</v>
      </c>
      <c r="AB12" s="23">
        <v>3027.98</v>
      </c>
      <c r="AC12" s="23">
        <v>0</v>
      </c>
      <c r="AD12" s="23">
        <v>18353</v>
      </c>
      <c r="AE12" s="8">
        <f t="shared" si="8"/>
        <v>2</v>
      </c>
      <c r="AF12" s="23">
        <v>1225.5</v>
      </c>
      <c r="AG12" s="23">
        <v>0</v>
      </c>
      <c r="AH12" s="14">
        <f t="shared" si="9"/>
        <v>121</v>
      </c>
      <c r="AI12" s="15">
        <f t="shared" si="10"/>
        <v>8.7999999999999545</v>
      </c>
      <c r="AJ12" s="16">
        <f t="shared" si="11"/>
        <v>112.20000000000005</v>
      </c>
      <c r="AK12" s="17">
        <f t="shared" si="12"/>
        <v>542.45000000000505</v>
      </c>
      <c r="AL12" s="18">
        <f t="shared" si="13"/>
        <v>654.65000000000509</v>
      </c>
    </row>
    <row r="13" spans="1:38" ht="25.5" customHeight="1">
      <c r="A13" s="23" t="s">
        <v>124</v>
      </c>
      <c r="B13" s="35">
        <v>8808.61</v>
      </c>
      <c r="C13" s="35">
        <v>188</v>
      </c>
      <c r="D13" s="23">
        <v>629.15</v>
      </c>
      <c r="E13" s="23">
        <v>169.17</v>
      </c>
      <c r="F13" s="23">
        <v>0.72099999999999997</v>
      </c>
      <c r="G13" s="23">
        <v>0.58499999999999996</v>
      </c>
      <c r="H13" s="23">
        <v>40</v>
      </c>
      <c r="I13" s="5">
        <f t="shared" si="0"/>
        <v>57.200000000000273</v>
      </c>
      <c r="J13" s="6">
        <f t="shared" si="1"/>
        <v>315.99999999999909</v>
      </c>
      <c r="K13" s="23">
        <v>76833.600000000006</v>
      </c>
      <c r="L13" s="23">
        <v>0.98699999999999999</v>
      </c>
      <c r="M13" s="7">
        <f t="shared" si="2"/>
        <v>9.3999999999941792</v>
      </c>
      <c r="N13" s="23">
        <v>78</v>
      </c>
      <c r="O13" s="8">
        <f t="shared" si="3"/>
        <v>0</v>
      </c>
      <c r="P13" s="23">
        <v>513</v>
      </c>
      <c r="Q13" s="23">
        <v>0</v>
      </c>
      <c r="R13" s="23">
        <v>127512.84</v>
      </c>
      <c r="S13" s="23">
        <v>0.91800000000000004</v>
      </c>
      <c r="T13" s="9">
        <f t="shared" si="4"/>
        <v>82.160000000003492</v>
      </c>
      <c r="U13" s="10">
        <f t="shared" si="5"/>
        <v>407.55999999999676</v>
      </c>
      <c r="V13" s="35">
        <v>31</v>
      </c>
      <c r="W13" s="35">
        <v>29</v>
      </c>
      <c r="X13" s="35">
        <v>39</v>
      </c>
      <c r="Y13" s="11">
        <f t="shared" si="6"/>
        <v>99</v>
      </c>
      <c r="Z13" s="23">
        <v>65.73</v>
      </c>
      <c r="AA13" s="8">
        <f t="shared" si="7"/>
        <v>3.9999999999992042E-2</v>
      </c>
      <c r="AB13" s="23">
        <v>3028.09</v>
      </c>
      <c r="AC13" s="23">
        <v>0</v>
      </c>
      <c r="AD13" s="23">
        <v>18355</v>
      </c>
      <c r="AE13" s="8">
        <f t="shared" si="8"/>
        <v>206</v>
      </c>
      <c r="AF13" s="23">
        <v>1225.7</v>
      </c>
      <c r="AG13" s="23">
        <v>0</v>
      </c>
      <c r="AH13" s="14">
        <f t="shared" si="9"/>
        <v>99</v>
      </c>
      <c r="AI13" s="15">
        <f t="shared" si="10"/>
        <v>57.200000000000273</v>
      </c>
      <c r="AJ13" s="16">
        <f t="shared" si="11"/>
        <v>41.799999999999727</v>
      </c>
      <c r="AK13" s="17">
        <f t="shared" si="12"/>
        <v>613.59999999999673</v>
      </c>
      <c r="AL13" s="18">
        <f t="shared" si="13"/>
        <v>655.39999999999645</v>
      </c>
    </row>
    <row r="14" spans="1:38" ht="25.5" customHeight="1">
      <c r="A14" s="23" t="s">
        <v>125</v>
      </c>
      <c r="B14" s="35">
        <v>8973.98</v>
      </c>
      <c r="C14" s="35">
        <v>165</v>
      </c>
      <c r="D14" s="23">
        <v>637.04999999999995</v>
      </c>
      <c r="E14" s="23">
        <v>170.6</v>
      </c>
      <c r="F14" s="23">
        <v>0.72099999999999997</v>
      </c>
      <c r="G14" s="23">
        <v>0.59699999999999998</v>
      </c>
      <c r="H14" s="23">
        <v>40</v>
      </c>
      <c r="I14" s="5">
        <f t="shared" si="0"/>
        <v>97.599999999999909</v>
      </c>
      <c r="J14" s="6">
        <f t="shared" si="1"/>
        <v>126.80000000000291</v>
      </c>
      <c r="K14" s="23">
        <v>76843</v>
      </c>
      <c r="L14" s="23">
        <v>0.98699999999999999</v>
      </c>
      <c r="M14" s="7">
        <f t="shared" si="2"/>
        <v>7</v>
      </c>
      <c r="N14" s="23">
        <v>78</v>
      </c>
      <c r="O14" s="8">
        <f t="shared" si="3"/>
        <v>0</v>
      </c>
      <c r="P14" s="23">
        <v>514</v>
      </c>
      <c r="Q14" s="23">
        <v>0</v>
      </c>
      <c r="R14" s="23">
        <v>127595</v>
      </c>
      <c r="S14" s="23">
        <v>0.91800000000000004</v>
      </c>
      <c r="T14" s="9">
        <f t="shared" si="4"/>
        <v>0.50999999999476131</v>
      </c>
      <c r="U14" s="10">
        <f t="shared" si="5"/>
        <v>134.30999999999767</v>
      </c>
      <c r="V14" s="35">
        <v>36</v>
      </c>
      <c r="W14" s="35">
        <v>38</v>
      </c>
      <c r="X14" s="35">
        <v>40</v>
      </c>
      <c r="Y14" s="11">
        <f t="shared" si="6"/>
        <v>114</v>
      </c>
      <c r="Z14" s="23">
        <v>65.77</v>
      </c>
      <c r="AA14" s="8">
        <f t="shared" si="7"/>
        <v>4.0000000000006253E-2</v>
      </c>
      <c r="AB14" s="23">
        <v>3032.1</v>
      </c>
      <c r="AC14" s="23">
        <v>0</v>
      </c>
      <c r="AD14" s="23">
        <v>18561</v>
      </c>
      <c r="AE14" s="8">
        <f t="shared" si="8"/>
        <v>0</v>
      </c>
      <c r="AF14" s="23">
        <v>1246.0999999999999</v>
      </c>
      <c r="AG14" s="23">
        <v>0</v>
      </c>
      <c r="AH14" s="14">
        <f t="shared" si="9"/>
        <v>114</v>
      </c>
      <c r="AI14" s="15">
        <f t="shared" si="10"/>
        <v>97.599999999999909</v>
      </c>
      <c r="AJ14" s="16">
        <f t="shared" si="11"/>
        <v>16.400000000000091</v>
      </c>
      <c r="AK14" s="17">
        <f t="shared" si="12"/>
        <v>134.34999999999769</v>
      </c>
      <c r="AL14" s="18">
        <f t="shared" si="13"/>
        <v>150.74999999999778</v>
      </c>
    </row>
    <row r="15" spans="1:38" ht="25.5" customHeight="1">
      <c r="A15" s="23" t="s">
        <v>126</v>
      </c>
      <c r="B15" s="35">
        <v>9010</v>
      </c>
      <c r="C15" s="35">
        <v>20</v>
      </c>
      <c r="D15" s="23">
        <v>640.22</v>
      </c>
      <c r="E15" s="23">
        <v>173.04</v>
      </c>
      <c r="F15" s="23">
        <v>0.72099999999999997</v>
      </c>
      <c r="G15" s="23">
        <v>0.59499999999999997</v>
      </c>
      <c r="H15" s="23">
        <v>40</v>
      </c>
      <c r="I15" s="5">
        <f t="shared" si="0"/>
        <v>128.00000000000068</v>
      </c>
      <c r="J15" s="6">
        <f t="shared" si="1"/>
        <v>152.39999999999782</v>
      </c>
      <c r="K15" s="23">
        <v>76850</v>
      </c>
      <c r="L15" s="23">
        <v>0.98699999999999999</v>
      </c>
      <c r="M15" s="7">
        <f t="shared" si="2"/>
        <v>4</v>
      </c>
      <c r="N15" s="23">
        <v>78</v>
      </c>
      <c r="O15" s="8">
        <f t="shared" si="3"/>
        <v>0</v>
      </c>
      <c r="P15" s="23">
        <v>514</v>
      </c>
      <c r="Q15" s="23">
        <v>0</v>
      </c>
      <c r="R15" s="23">
        <v>127595.51</v>
      </c>
      <c r="S15" s="23">
        <v>0.91800000000000004</v>
      </c>
      <c r="T15" s="9">
        <f t="shared" si="4"/>
        <v>0</v>
      </c>
      <c r="U15" s="10">
        <f t="shared" si="5"/>
        <v>156.39999999999782</v>
      </c>
      <c r="V15" s="35">
        <v>95</v>
      </c>
      <c r="W15" s="35">
        <v>97</v>
      </c>
      <c r="X15" s="35">
        <v>108</v>
      </c>
      <c r="Y15" s="11">
        <f t="shared" si="6"/>
        <v>300</v>
      </c>
      <c r="Z15" s="23">
        <v>65.81</v>
      </c>
      <c r="AA15" s="8">
        <f t="shared" si="7"/>
        <v>0</v>
      </c>
      <c r="AB15" s="23">
        <v>3032.1</v>
      </c>
      <c r="AC15" s="23">
        <v>0</v>
      </c>
      <c r="AD15" s="23">
        <v>18561</v>
      </c>
      <c r="AE15" s="8">
        <f t="shared" si="8"/>
        <v>0</v>
      </c>
      <c r="AF15" s="23">
        <v>1246.0999999999999</v>
      </c>
      <c r="AG15" s="23">
        <v>0</v>
      </c>
      <c r="AH15" s="14">
        <f t="shared" si="9"/>
        <v>300</v>
      </c>
      <c r="AI15" s="15">
        <f t="shared" si="10"/>
        <v>128.00000000000068</v>
      </c>
      <c r="AJ15" s="16">
        <f t="shared" si="11"/>
        <v>171.99999999999932</v>
      </c>
      <c r="AK15" s="17">
        <f t="shared" si="12"/>
        <v>156.39999999999782</v>
      </c>
      <c r="AL15" s="18">
        <f t="shared" si="13"/>
        <v>328.39999999999714</v>
      </c>
    </row>
    <row r="16" spans="1:38" ht="25.5" customHeight="1">
      <c r="A16" s="23" t="s">
        <v>127</v>
      </c>
      <c r="B16" s="35">
        <v>9062</v>
      </c>
      <c r="C16" s="35">
        <v>52</v>
      </c>
      <c r="D16" s="23">
        <v>644.03</v>
      </c>
      <c r="E16" s="23">
        <v>176.24</v>
      </c>
      <c r="F16" s="23">
        <v>0.72099999999999997</v>
      </c>
      <c r="G16" s="23">
        <v>0.59499999999999997</v>
      </c>
      <c r="H16" s="23">
        <v>40</v>
      </c>
      <c r="I16" s="5">
        <f t="shared" si="0"/>
        <v>81.200000000000045</v>
      </c>
      <c r="J16" s="6">
        <f t="shared" si="1"/>
        <v>375.59999999999945</v>
      </c>
      <c r="K16" s="23">
        <v>76854</v>
      </c>
      <c r="L16" s="23">
        <v>0.98699999999999999</v>
      </c>
      <c r="M16" s="7">
        <f t="shared" si="2"/>
        <v>3</v>
      </c>
      <c r="N16" s="23">
        <v>78</v>
      </c>
      <c r="O16" s="8">
        <f t="shared" si="3"/>
        <v>0</v>
      </c>
      <c r="P16" s="23">
        <v>514</v>
      </c>
      <c r="Q16" s="23">
        <v>0</v>
      </c>
      <c r="R16" s="23">
        <v>127595.51</v>
      </c>
      <c r="S16" s="23">
        <v>0.91800000000000004</v>
      </c>
      <c r="T16" s="9">
        <f t="shared" si="4"/>
        <v>0</v>
      </c>
      <c r="U16" s="10">
        <f t="shared" si="5"/>
        <v>378.59999999999945</v>
      </c>
      <c r="V16" s="35">
        <v>51</v>
      </c>
      <c r="W16" s="35">
        <v>67</v>
      </c>
      <c r="X16" s="35">
        <v>61</v>
      </c>
      <c r="Y16" s="11">
        <f t="shared" si="6"/>
        <v>179</v>
      </c>
      <c r="Z16" s="23">
        <v>65.81</v>
      </c>
      <c r="AA16" s="8">
        <f t="shared" si="7"/>
        <v>0</v>
      </c>
      <c r="AB16" s="23">
        <v>3032.1</v>
      </c>
      <c r="AC16" s="23">
        <v>0</v>
      </c>
      <c r="AD16" s="23">
        <v>18561</v>
      </c>
      <c r="AE16" s="8">
        <f t="shared" si="8"/>
        <v>28</v>
      </c>
      <c r="AF16" s="23">
        <v>1246.0999999999999</v>
      </c>
      <c r="AG16" s="23">
        <v>0</v>
      </c>
      <c r="AH16" s="14">
        <f t="shared" si="9"/>
        <v>179</v>
      </c>
      <c r="AI16" s="15">
        <f t="shared" si="10"/>
        <v>81.200000000000045</v>
      </c>
      <c r="AJ16" s="16">
        <f t="shared" si="11"/>
        <v>97.799999999999955</v>
      </c>
      <c r="AK16" s="17">
        <f t="shared" si="12"/>
        <v>406.59999999999945</v>
      </c>
      <c r="AL16" s="18">
        <f t="shared" si="13"/>
        <v>504.39999999999941</v>
      </c>
    </row>
    <row r="17" spans="1:38" ht="25.5" customHeight="1">
      <c r="A17" s="23" t="s">
        <v>128</v>
      </c>
      <c r="B17" s="35">
        <v>9162</v>
      </c>
      <c r="C17" s="35">
        <v>100</v>
      </c>
      <c r="D17" s="23">
        <v>653.41999999999996</v>
      </c>
      <c r="E17" s="23">
        <v>178.27</v>
      </c>
      <c r="F17" s="23">
        <v>0.71399999999999997</v>
      </c>
      <c r="G17" s="23">
        <v>0.61499999999999999</v>
      </c>
      <c r="H17" s="23">
        <v>40</v>
      </c>
      <c r="I17" s="5">
        <f t="shared" si="0"/>
        <v>39.199999999999591</v>
      </c>
      <c r="J17" s="6">
        <f t="shared" si="1"/>
        <v>160.39999999999964</v>
      </c>
      <c r="K17" s="23">
        <v>76857</v>
      </c>
      <c r="L17" s="23">
        <v>0.98699999999999999</v>
      </c>
      <c r="M17" s="7">
        <f t="shared" si="2"/>
        <v>5</v>
      </c>
      <c r="N17" s="23">
        <v>78</v>
      </c>
      <c r="O17" s="8">
        <f t="shared" si="3"/>
        <v>0</v>
      </c>
      <c r="P17" s="23">
        <v>514</v>
      </c>
      <c r="Q17" s="23">
        <v>0</v>
      </c>
      <c r="R17" s="23">
        <v>127595.51</v>
      </c>
      <c r="S17" s="23">
        <v>0.91800000000000004</v>
      </c>
      <c r="T17" s="9">
        <f t="shared" si="4"/>
        <v>0</v>
      </c>
      <c r="U17" s="10">
        <f t="shared" si="5"/>
        <v>165.39999999999964</v>
      </c>
      <c r="V17" s="35">
        <v>38</v>
      </c>
      <c r="W17" s="35">
        <v>42</v>
      </c>
      <c r="X17" s="35">
        <v>40</v>
      </c>
      <c r="Y17" s="11">
        <f t="shared" si="6"/>
        <v>120</v>
      </c>
      <c r="Z17" s="23">
        <v>65.81</v>
      </c>
      <c r="AA17" s="8">
        <f t="shared" si="7"/>
        <v>0</v>
      </c>
      <c r="AB17" s="23">
        <v>3032.13</v>
      </c>
      <c r="AC17" s="23">
        <v>0</v>
      </c>
      <c r="AD17" s="23">
        <v>18589</v>
      </c>
      <c r="AE17" s="8">
        <f t="shared" si="8"/>
        <v>0</v>
      </c>
      <c r="AF17" s="23">
        <v>1249.5999999999999</v>
      </c>
      <c r="AG17" s="23">
        <v>0</v>
      </c>
      <c r="AH17" s="14">
        <f t="shared" si="9"/>
        <v>120</v>
      </c>
      <c r="AI17" s="15">
        <f t="shared" si="10"/>
        <v>39.199999999999591</v>
      </c>
      <c r="AJ17" s="16">
        <f t="shared" si="11"/>
        <v>80.800000000000409</v>
      </c>
      <c r="AK17" s="17">
        <f t="shared" si="12"/>
        <v>165.39999999999964</v>
      </c>
      <c r="AL17" s="18">
        <f t="shared" si="13"/>
        <v>246.20000000000005</v>
      </c>
    </row>
    <row r="18" spans="1:38" ht="25.5" customHeight="1">
      <c r="A18" s="23" t="s">
        <v>129</v>
      </c>
      <c r="B18" s="35">
        <v>9208</v>
      </c>
      <c r="C18" s="35">
        <v>46</v>
      </c>
      <c r="D18" s="23">
        <v>657.43</v>
      </c>
      <c r="E18" s="23">
        <v>179.25</v>
      </c>
      <c r="F18" s="23">
        <v>0.71599999999999997</v>
      </c>
      <c r="G18" s="23">
        <v>0.60399999999999998</v>
      </c>
      <c r="H18" s="23">
        <v>40</v>
      </c>
      <c r="I18" s="5">
        <f t="shared" si="0"/>
        <v>30.399999999999636</v>
      </c>
      <c r="J18" s="6">
        <f t="shared" si="1"/>
        <v>196.80000000000291</v>
      </c>
      <c r="K18" s="23">
        <v>76862</v>
      </c>
      <c r="L18" s="23">
        <v>0.98699999999999999</v>
      </c>
      <c r="M18" s="7">
        <f t="shared" si="2"/>
        <v>5</v>
      </c>
      <c r="N18" s="23">
        <v>78</v>
      </c>
      <c r="O18" s="8">
        <f t="shared" si="3"/>
        <v>0</v>
      </c>
      <c r="P18" s="23">
        <v>514</v>
      </c>
      <c r="Q18" s="23">
        <v>0</v>
      </c>
      <c r="R18" s="23">
        <v>127595.51</v>
      </c>
      <c r="S18" s="23">
        <v>0.91800000000000004</v>
      </c>
      <c r="T18" s="9">
        <f t="shared" si="4"/>
        <v>0</v>
      </c>
      <c r="U18" s="10">
        <f t="shared" si="5"/>
        <v>201.80000000000291</v>
      </c>
      <c r="V18" s="35">
        <v>52</v>
      </c>
      <c r="W18" s="35">
        <v>64</v>
      </c>
      <c r="X18" s="35">
        <v>59</v>
      </c>
      <c r="Y18" s="11">
        <f t="shared" si="6"/>
        <v>175</v>
      </c>
      <c r="Z18" s="23">
        <v>65.81</v>
      </c>
      <c r="AA18" s="8">
        <f t="shared" si="7"/>
        <v>0</v>
      </c>
      <c r="AB18" s="23">
        <v>3032.15</v>
      </c>
      <c r="AC18" s="23">
        <v>0</v>
      </c>
      <c r="AD18" s="23">
        <v>18589</v>
      </c>
      <c r="AE18" s="8">
        <f t="shared" si="8"/>
        <v>3</v>
      </c>
      <c r="AF18" s="23">
        <v>1249.9000000000001</v>
      </c>
      <c r="AG18" s="23">
        <v>0</v>
      </c>
      <c r="AH18" s="14">
        <f t="shared" si="9"/>
        <v>175</v>
      </c>
      <c r="AI18" s="15">
        <f t="shared" si="10"/>
        <v>30.399999999999636</v>
      </c>
      <c r="AJ18" s="16">
        <f t="shared" si="11"/>
        <v>144.60000000000036</v>
      </c>
      <c r="AK18" s="17">
        <f t="shared" si="12"/>
        <v>204.80000000000291</v>
      </c>
      <c r="AL18" s="18">
        <f t="shared" si="13"/>
        <v>349.40000000000327</v>
      </c>
    </row>
    <row r="19" spans="1:38" ht="25.5" customHeight="1">
      <c r="A19" s="23" t="s">
        <v>130</v>
      </c>
      <c r="B19" s="35">
        <v>9266</v>
      </c>
      <c r="C19" s="35">
        <v>58</v>
      </c>
      <c r="D19" s="23">
        <v>662.35</v>
      </c>
      <c r="E19" s="23">
        <v>180.01</v>
      </c>
      <c r="F19" s="23">
        <v>0.71499999999999997</v>
      </c>
      <c r="G19" s="23">
        <v>0.6</v>
      </c>
      <c r="H19" s="23">
        <v>40</v>
      </c>
      <c r="I19" s="5">
        <f t="shared" si="0"/>
        <v>50</v>
      </c>
      <c r="J19" s="6">
        <f t="shared" si="1"/>
        <v>179.60000000000036</v>
      </c>
      <c r="K19" s="23">
        <v>76867</v>
      </c>
      <c r="L19" s="23">
        <v>0.98699999999999999</v>
      </c>
      <c r="M19" s="7">
        <f t="shared" si="2"/>
        <v>5</v>
      </c>
      <c r="N19" s="23">
        <v>78</v>
      </c>
      <c r="O19" s="8">
        <f t="shared" si="3"/>
        <v>0</v>
      </c>
      <c r="P19" s="23">
        <v>514</v>
      </c>
      <c r="Q19" s="23">
        <v>0</v>
      </c>
      <c r="R19" s="23">
        <v>127595.51</v>
      </c>
      <c r="S19" s="23">
        <v>0.91800000000000004</v>
      </c>
      <c r="T19" s="9">
        <f t="shared" si="4"/>
        <v>0</v>
      </c>
      <c r="U19" s="10">
        <f t="shared" si="5"/>
        <v>184.60000000000036</v>
      </c>
      <c r="V19" s="35">
        <v>57</v>
      </c>
      <c r="W19" s="35">
        <v>62</v>
      </c>
      <c r="X19" s="35">
        <v>45</v>
      </c>
      <c r="Y19" s="11">
        <f t="shared" si="6"/>
        <v>164</v>
      </c>
      <c r="Z19" s="23">
        <v>65.81</v>
      </c>
      <c r="AA19" s="8">
        <f t="shared" si="7"/>
        <v>0</v>
      </c>
      <c r="AB19" s="23">
        <v>3032.16</v>
      </c>
      <c r="AC19" s="23">
        <v>0</v>
      </c>
      <c r="AD19" s="23">
        <v>18592</v>
      </c>
      <c r="AE19" s="8">
        <f t="shared" si="8"/>
        <v>1</v>
      </c>
      <c r="AF19" s="23">
        <v>1250.2</v>
      </c>
      <c r="AG19" s="23">
        <v>0</v>
      </c>
      <c r="AH19" s="14">
        <f t="shared" si="9"/>
        <v>164</v>
      </c>
      <c r="AI19" s="15">
        <f t="shared" si="10"/>
        <v>50</v>
      </c>
      <c r="AJ19" s="16">
        <f t="shared" si="11"/>
        <v>114</v>
      </c>
      <c r="AK19" s="17">
        <f t="shared" si="12"/>
        <v>185.60000000000036</v>
      </c>
      <c r="AL19" s="18">
        <f t="shared" si="13"/>
        <v>299.60000000000036</v>
      </c>
    </row>
    <row r="20" spans="1:38" ht="25.5" customHeight="1">
      <c r="A20" s="23" t="s">
        <v>131</v>
      </c>
      <c r="B20" s="35">
        <v>9316</v>
      </c>
      <c r="C20" s="35">
        <v>50</v>
      </c>
      <c r="D20" s="23">
        <v>666.84</v>
      </c>
      <c r="E20" s="23">
        <v>181.26</v>
      </c>
      <c r="F20" s="23">
        <v>0.71299999999999997</v>
      </c>
      <c r="G20" s="23">
        <v>0.59699999999999998</v>
      </c>
      <c r="H20" s="23">
        <v>40</v>
      </c>
      <c r="I20" s="5">
        <f t="shared" si="0"/>
        <v>22.400000000000091</v>
      </c>
      <c r="J20" s="6">
        <f t="shared" si="1"/>
        <v>220.39999999999964</v>
      </c>
      <c r="K20" s="23">
        <v>76872</v>
      </c>
      <c r="L20" s="23">
        <v>0.98699999999999999</v>
      </c>
      <c r="M20" s="7">
        <f t="shared" si="2"/>
        <v>16</v>
      </c>
      <c r="N20" s="23">
        <v>78</v>
      </c>
      <c r="O20" s="8">
        <f t="shared" si="3"/>
        <v>0</v>
      </c>
      <c r="P20" s="23">
        <v>514</v>
      </c>
      <c r="Q20" s="23">
        <v>0</v>
      </c>
      <c r="R20" s="23">
        <v>127595.51</v>
      </c>
      <c r="S20" s="23">
        <v>0.91800000000000004</v>
      </c>
      <c r="T20" s="9">
        <f t="shared" si="4"/>
        <v>0</v>
      </c>
      <c r="U20" s="10">
        <f t="shared" si="5"/>
        <v>236.39999999999964</v>
      </c>
      <c r="V20" s="35">
        <v>27</v>
      </c>
      <c r="W20" s="35">
        <v>49</v>
      </c>
      <c r="X20" s="35">
        <v>57</v>
      </c>
      <c r="Y20" s="11">
        <f t="shared" si="6"/>
        <v>133</v>
      </c>
      <c r="Z20" s="23">
        <v>65.81</v>
      </c>
      <c r="AA20" s="8">
        <f t="shared" si="7"/>
        <v>0</v>
      </c>
      <c r="AB20" s="23">
        <v>3032.17</v>
      </c>
      <c r="AC20" s="23">
        <v>0</v>
      </c>
      <c r="AD20" s="23">
        <v>18593</v>
      </c>
      <c r="AE20" s="8">
        <f t="shared" si="8"/>
        <v>9</v>
      </c>
      <c r="AF20" s="23">
        <v>1250.4000000000001</v>
      </c>
      <c r="AG20" s="23">
        <v>0</v>
      </c>
      <c r="AH20" s="14">
        <f t="shared" si="9"/>
        <v>133</v>
      </c>
      <c r="AI20" s="15">
        <f t="shared" si="10"/>
        <v>22.400000000000091</v>
      </c>
      <c r="AJ20" s="16">
        <f t="shared" si="11"/>
        <v>110.59999999999991</v>
      </c>
      <c r="AK20" s="17">
        <f t="shared" si="12"/>
        <v>245.39999999999964</v>
      </c>
      <c r="AL20" s="18">
        <f t="shared" si="13"/>
        <v>355.99999999999955</v>
      </c>
    </row>
    <row r="21" spans="1:38" ht="25.5" customHeight="1">
      <c r="A21" s="23" t="s">
        <v>132</v>
      </c>
      <c r="B21" s="35">
        <v>9377</v>
      </c>
      <c r="C21" s="35">
        <v>61</v>
      </c>
      <c r="D21" s="23">
        <v>672.35</v>
      </c>
      <c r="E21" s="23">
        <v>181.82</v>
      </c>
      <c r="F21" s="23">
        <v>0.71399999999999997</v>
      </c>
      <c r="G21" s="23">
        <v>0.59799999999999998</v>
      </c>
      <c r="H21" s="23">
        <v>40</v>
      </c>
      <c r="I21" s="5">
        <f t="shared" si="0"/>
        <v>61.200000000000045</v>
      </c>
      <c r="J21" s="6">
        <f t="shared" si="1"/>
        <v>180.39999999999964</v>
      </c>
      <c r="K21" s="23">
        <v>76888</v>
      </c>
      <c r="L21" s="23">
        <v>0.98699999999999999</v>
      </c>
      <c r="M21" s="7">
        <f t="shared" si="2"/>
        <v>4</v>
      </c>
      <c r="N21" s="23">
        <v>78</v>
      </c>
      <c r="O21" s="8">
        <f t="shared" si="3"/>
        <v>0</v>
      </c>
      <c r="P21" s="23">
        <v>514</v>
      </c>
      <c r="Q21" s="23">
        <v>0</v>
      </c>
      <c r="R21" s="23">
        <v>127595.51</v>
      </c>
      <c r="S21" s="23">
        <v>0.91800000000000004</v>
      </c>
      <c r="T21" s="9">
        <f t="shared" si="4"/>
        <v>0</v>
      </c>
      <c r="U21" s="10">
        <f t="shared" si="5"/>
        <v>184.39999999999964</v>
      </c>
      <c r="V21" s="35">
        <v>48</v>
      </c>
      <c r="W21" s="35">
        <v>52</v>
      </c>
      <c r="X21" s="35">
        <v>46</v>
      </c>
      <c r="Y21" s="11">
        <f t="shared" si="6"/>
        <v>146</v>
      </c>
      <c r="Z21" s="23">
        <v>65.81</v>
      </c>
      <c r="AA21" s="8">
        <f t="shared" si="7"/>
        <v>0</v>
      </c>
      <c r="AB21" s="23">
        <v>3032.18</v>
      </c>
      <c r="AC21" s="23">
        <v>0</v>
      </c>
      <c r="AD21" s="23">
        <v>18602</v>
      </c>
      <c r="AE21" s="8">
        <f t="shared" si="8"/>
        <v>0</v>
      </c>
      <c r="AF21" s="23">
        <v>1251.2</v>
      </c>
      <c r="AG21" s="23">
        <v>0</v>
      </c>
      <c r="AH21" s="14">
        <f t="shared" si="9"/>
        <v>146</v>
      </c>
      <c r="AI21" s="15">
        <f t="shared" si="10"/>
        <v>61.200000000000045</v>
      </c>
      <c r="AJ21" s="16">
        <f t="shared" si="11"/>
        <v>84.799999999999955</v>
      </c>
      <c r="AK21" s="17">
        <f t="shared" si="12"/>
        <v>184.39999999999964</v>
      </c>
      <c r="AL21" s="18">
        <f t="shared" si="13"/>
        <v>269.19999999999959</v>
      </c>
    </row>
    <row r="22" spans="1:38" ht="25.5" customHeight="1">
      <c r="A22" s="23" t="s">
        <v>133</v>
      </c>
      <c r="B22" s="35">
        <v>9431</v>
      </c>
      <c r="C22" s="35">
        <v>54</v>
      </c>
      <c r="D22" s="23">
        <v>676.86</v>
      </c>
      <c r="E22" s="23">
        <v>183.35</v>
      </c>
      <c r="F22" s="23">
        <v>0.91400000000000003</v>
      </c>
      <c r="G22" s="23">
        <v>0.59699999999999998</v>
      </c>
      <c r="H22" s="23">
        <v>40</v>
      </c>
      <c r="I22" s="5">
        <f t="shared" si="0"/>
        <v>266.80000000000064</v>
      </c>
      <c r="J22" s="6">
        <f t="shared" si="1"/>
        <v>705.59999999999945</v>
      </c>
      <c r="K22" s="23">
        <v>76892</v>
      </c>
      <c r="L22" s="23">
        <v>0.98699999999999999</v>
      </c>
      <c r="M22" s="7">
        <f t="shared" si="2"/>
        <v>6</v>
      </c>
      <c r="N22" s="23">
        <v>78</v>
      </c>
      <c r="O22" s="8">
        <f t="shared" si="3"/>
        <v>0</v>
      </c>
      <c r="P22" s="23">
        <v>514</v>
      </c>
      <c r="Q22" s="23">
        <v>0</v>
      </c>
      <c r="R22" s="23">
        <v>127595.51</v>
      </c>
      <c r="S22" s="23">
        <v>0.91800000000000004</v>
      </c>
      <c r="T22" s="9">
        <f t="shared" si="4"/>
        <v>0</v>
      </c>
      <c r="U22" s="10">
        <f t="shared" si="5"/>
        <v>711.59999999999945</v>
      </c>
      <c r="V22" s="35">
        <v>100</v>
      </c>
      <c r="W22" s="35">
        <v>103</v>
      </c>
      <c r="X22" s="35">
        <v>86</v>
      </c>
      <c r="Y22" s="11">
        <f t="shared" si="6"/>
        <v>289</v>
      </c>
      <c r="Z22" s="23">
        <v>65.81</v>
      </c>
      <c r="AA22" s="8">
        <f t="shared" si="7"/>
        <v>0</v>
      </c>
      <c r="AB22" s="23">
        <v>3032.2</v>
      </c>
      <c r="AC22" s="23">
        <v>0</v>
      </c>
      <c r="AD22" s="23">
        <v>18602</v>
      </c>
      <c r="AE22" s="8">
        <f t="shared" si="8"/>
        <v>2</v>
      </c>
      <c r="AF22" s="23">
        <v>1251.3</v>
      </c>
      <c r="AG22" s="23">
        <v>0</v>
      </c>
      <c r="AH22" s="14">
        <f t="shared" si="9"/>
        <v>289</v>
      </c>
      <c r="AI22" s="15">
        <f t="shared" si="10"/>
        <v>266.80000000000064</v>
      </c>
      <c r="AJ22" s="16">
        <f t="shared" si="11"/>
        <v>22.199999999999363</v>
      </c>
      <c r="AK22" s="17">
        <f t="shared" si="12"/>
        <v>713.59999999999945</v>
      </c>
      <c r="AL22" s="18">
        <f t="shared" si="13"/>
        <v>735.79999999999882</v>
      </c>
    </row>
    <row r="23" spans="1:38" ht="25.5" customHeight="1">
      <c r="A23" s="23" t="s">
        <v>134</v>
      </c>
      <c r="B23" s="23">
        <v>9669</v>
      </c>
      <c r="C23" s="23">
        <v>56</v>
      </c>
      <c r="D23" s="23">
        <v>694.5</v>
      </c>
      <c r="E23" s="23">
        <v>190.02</v>
      </c>
      <c r="F23" s="23">
        <v>0.71699999999999997</v>
      </c>
      <c r="G23" s="23">
        <v>0.61599999999999999</v>
      </c>
      <c r="H23" s="23">
        <v>40</v>
      </c>
      <c r="I23" s="5">
        <f t="shared" si="0"/>
        <v>252.79999999999973</v>
      </c>
      <c r="J23" s="6">
        <f t="shared" si="1"/>
        <v>154.40000000000055</v>
      </c>
      <c r="K23" s="23">
        <v>76898</v>
      </c>
      <c r="L23" s="23">
        <v>0.98699999999999999</v>
      </c>
      <c r="M23" s="7">
        <f t="shared" si="2"/>
        <v>3</v>
      </c>
      <c r="N23" s="23">
        <v>78</v>
      </c>
      <c r="O23" s="8">
        <f t="shared" si="3"/>
        <v>0</v>
      </c>
      <c r="P23" s="23">
        <v>514</v>
      </c>
      <c r="Q23" s="23">
        <v>0</v>
      </c>
      <c r="R23" s="23">
        <v>127595.51</v>
      </c>
      <c r="S23" s="23">
        <v>0.91800000000000004</v>
      </c>
      <c r="T23" s="9">
        <f t="shared" si="4"/>
        <v>0</v>
      </c>
      <c r="U23" s="10">
        <f t="shared" si="5"/>
        <v>157.40000000000055</v>
      </c>
      <c r="V23" s="35">
        <v>91</v>
      </c>
      <c r="W23" s="35">
        <v>109</v>
      </c>
      <c r="X23" s="35">
        <v>103</v>
      </c>
      <c r="Y23" s="11">
        <f t="shared" si="6"/>
        <v>303</v>
      </c>
      <c r="Z23" s="23">
        <v>65.81</v>
      </c>
      <c r="AA23" s="8">
        <f t="shared" si="7"/>
        <v>0</v>
      </c>
      <c r="AB23" s="23">
        <v>3032.23</v>
      </c>
      <c r="AC23" s="23">
        <v>0</v>
      </c>
      <c r="AD23" s="23">
        <v>18604</v>
      </c>
      <c r="AE23" s="8">
        <f t="shared" si="8"/>
        <v>4</v>
      </c>
      <c r="AF23" s="23">
        <v>1251.8</v>
      </c>
      <c r="AG23" s="23">
        <v>0</v>
      </c>
      <c r="AH23" s="14">
        <f t="shared" si="9"/>
        <v>303</v>
      </c>
      <c r="AI23" s="15">
        <f t="shared" si="10"/>
        <v>252.79999999999973</v>
      </c>
      <c r="AJ23" s="16">
        <f t="shared" si="11"/>
        <v>50.200000000000273</v>
      </c>
      <c r="AK23" s="17">
        <f t="shared" si="12"/>
        <v>161.40000000000055</v>
      </c>
      <c r="AL23" s="18">
        <f t="shared" si="13"/>
        <v>211.60000000000082</v>
      </c>
    </row>
    <row r="24" spans="1:38" ht="25.5" customHeight="1">
      <c r="A24" s="23" t="s">
        <v>135</v>
      </c>
      <c r="B24" s="23">
        <v>9722</v>
      </c>
      <c r="C24" s="23">
        <v>56</v>
      </c>
      <c r="D24" s="23">
        <v>698.36</v>
      </c>
      <c r="E24" s="23">
        <v>196.34</v>
      </c>
      <c r="F24" s="23">
        <v>0.71799999999999997</v>
      </c>
      <c r="G24" s="23">
        <v>0.624</v>
      </c>
      <c r="H24" s="23">
        <v>40</v>
      </c>
      <c r="I24" s="5">
        <f t="shared" si="0"/>
        <v>144.80000000000018</v>
      </c>
      <c r="J24" s="6">
        <f t="shared" si="1"/>
        <v>171.59999999999854</v>
      </c>
      <c r="K24" s="23">
        <v>76901</v>
      </c>
      <c r="L24" s="23">
        <v>0.98299999999999998</v>
      </c>
      <c r="M24" s="7">
        <f t="shared" si="2"/>
        <v>3</v>
      </c>
      <c r="N24" s="23">
        <v>78</v>
      </c>
      <c r="O24" s="8">
        <f t="shared" si="3"/>
        <v>0</v>
      </c>
      <c r="P24" s="23">
        <v>514</v>
      </c>
      <c r="Q24" s="23">
        <v>0</v>
      </c>
      <c r="R24" s="23">
        <v>127595.51</v>
      </c>
      <c r="S24" s="23">
        <v>0.91800000000000004</v>
      </c>
      <c r="T24" s="9">
        <f t="shared" si="4"/>
        <v>0</v>
      </c>
      <c r="U24" s="10">
        <f t="shared" si="5"/>
        <v>174.59999999999854</v>
      </c>
      <c r="V24" s="35">
        <v>100</v>
      </c>
      <c r="W24" s="35">
        <v>120</v>
      </c>
      <c r="X24" s="35">
        <v>111</v>
      </c>
      <c r="Y24" s="11">
        <f t="shared" si="6"/>
        <v>331</v>
      </c>
      <c r="Z24" s="23">
        <v>65.81</v>
      </c>
      <c r="AA24" s="8">
        <f t="shared" si="7"/>
        <v>0</v>
      </c>
      <c r="AB24" s="23">
        <v>3032.23</v>
      </c>
      <c r="AC24" s="23">
        <v>0</v>
      </c>
      <c r="AD24" s="23">
        <v>18608</v>
      </c>
      <c r="AE24" s="8">
        <f t="shared" si="8"/>
        <v>1</v>
      </c>
      <c r="AF24" s="23">
        <v>1252.2</v>
      </c>
      <c r="AG24" s="23">
        <v>0</v>
      </c>
      <c r="AH24" s="14">
        <f t="shared" si="9"/>
        <v>331</v>
      </c>
      <c r="AI24" s="15">
        <f t="shared" si="10"/>
        <v>144.80000000000018</v>
      </c>
      <c r="AJ24" s="16">
        <f t="shared" si="11"/>
        <v>186.19999999999982</v>
      </c>
      <c r="AK24" s="17">
        <f t="shared" si="12"/>
        <v>175.59999999999854</v>
      </c>
      <c r="AL24" s="18">
        <f t="shared" si="13"/>
        <v>361.79999999999836</v>
      </c>
    </row>
    <row r="25" spans="1:38" ht="25.5" customHeight="1">
      <c r="A25" s="23" t="s">
        <v>136</v>
      </c>
      <c r="B25" s="23">
        <v>9819</v>
      </c>
      <c r="C25" s="23">
        <v>97</v>
      </c>
      <c r="D25" s="23">
        <v>702.65</v>
      </c>
      <c r="E25" s="23">
        <v>199.96</v>
      </c>
      <c r="F25" s="23">
        <v>0.71799999999999997</v>
      </c>
      <c r="G25" s="23">
        <v>0.61499999999999999</v>
      </c>
      <c r="H25" s="23">
        <v>40</v>
      </c>
      <c r="I25" s="5">
        <f t="shared" si="0"/>
        <v>26.399999999999864</v>
      </c>
      <c r="J25" s="6">
        <f t="shared" si="1"/>
        <v>201.60000000000309</v>
      </c>
      <c r="K25" s="23">
        <v>76904</v>
      </c>
      <c r="L25" s="23">
        <v>0.98699999999999999</v>
      </c>
      <c r="M25" s="7">
        <f t="shared" si="2"/>
        <v>11</v>
      </c>
      <c r="N25" s="23">
        <v>78</v>
      </c>
      <c r="O25" s="8">
        <f t="shared" si="3"/>
        <v>0</v>
      </c>
      <c r="P25" s="23">
        <v>514</v>
      </c>
      <c r="Q25" s="23">
        <v>0</v>
      </c>
      <c r="R25" s="23">
        <v>127595.51</v>
      </c>
      <c r="S25" s="23">
        <v>0.91800000000000004</v>
      </c>
      <c r="T25" s="9">
        <f t="shared" si="4"/>
        <v>0</v>
      </c>
      <c r="U25" s="10">
        <f t="shared" si="5"/>
        <v>212.60000000000309</v>
      </c>
      <c r="V25" s="35">
        <v>72</v>
      </c>
      <c r="W25" s="35">
        <v>84</v>
      </c>
      <c r="X25" s="35">
        <v>82</v>
      </c>
      <c r="Y25" s="11">
        <f t="shared" si="6"/>
        <v>238</v>
      </c>
      <c r="Z25" s="23">
        <v>65.81</v>
      </c>
      <c r="AA25" s="8">
        <f t="shared" si="7"/>
        <v>0</v>
      </c>
      <c r="AB25" s="23">
        <v>3032.28</v>
      </c>
      <c r="AC25" s="23">
        <v>0</v>
      </c>
      <c r="AD25" s="23">
        <v>18609</v>
      </c>
      <c r="AE25" s="8">
        <f t="shared" si="8"/>
        <v>9</v>
      </c>
      <c r="AF25" s="23">
        <v>1252.3</v>
      </c>
      <c r="AG25" s="23">
        <v>0</v>
      </c>
      <c r="AH25" s="14">
        <f t="shared" si="9"/>
        <v>238</v>
      </c>
      <c r="AI25" s="15">
        <f t="shared" si="10"/>
        <v>26.399999999999864</v>
      </c>
      <c r="AJ25" s="16">
        <f t="shared" si="11"/>
        <v>211.60000000000014</v>
      </c>
      <c r="AK25" s="17">
        <f t="shared" si="12"/>
        <v>221.60000000000309</v>
      </c>
      <c r="AL25" s="18">
        <f t="shared" si="13"/>
        <v>433.20000000000323</v>
      </c>
    </row>
    <row r="26" spans="1:38" ht="25.5" customHeight="1">
      <c r="A26" s="23" t="s">
        <v>137</v>
      </c>
      <c r="B26" s="23">
        <v>9922</v>
      </c>
      <c r="C26" s="23">
        <v>103</v>
      </c>
      <c r="D26" s="23">
        <v>707.69</v>
      </c>
      <c r="E26" s="23">
        <v>200.62</v>
      </c>
      <c r="F26" s="23">
        <v>0.71799999999999997</v>
      </c>
      <c r="G26" s="23">
        <v>0.61799999999999999</v>
      </c>
      <c r="H26" s="23">
        <v>40</v>
      </c>
      <c r="I26" s="5"/>
      <c r="J26" s="6"/>
      <c r="K26" s="23">
        <v>76915</v>
      </c>
      <c r="L26" s="23">
        <v>0.98699999999999999</v>
      </c>
      <c r="M26" s="7"/>
      <c r="N26" s="23">
        <v>78</v>
      </c>
      <c r="O26" s="38"/>
      <c r="P26" s="23">
        <v>514</v>
      </c>
      <c r="Q26" s="23">
        <v>0</v>
      </c>
      <c r="R26" s="23">
        <v>127595.51</v>
      </c>
      <c r="S26" s="23">
        <v>0.91800000000000004</v>
      </c>
      <c r="T26" s="9"/>
      <c r="U26" s="10"/>
      <c r="V26" s="35"/>
      <c r="W26" s="35"/>
      <c r="X26" s="35"/>
      <c r="Y26" s="11"/>
      <c r="Z26" s="23">
        <v>65.81</v>
      </c>
      <c r="AA26" s="8"/>
      <c r="AB26" s="23">
        <v>3033.17</v>
      </c>
      <c r="AC26" s="23">
        <v>0</v>
      </c>
      <c r="AD26" s="23">
        <v>18618</v>
      </c>
      <c r="AE26" s="8"/>
      <c r="AF26" s="23">
        <v>1253</v>
      </c>
      <c r="AG26" s="23">
        <v>0</v>
      </c>
      <c r="AH26" s="14"/>
      <c r="AI26" s="15"/>
      <c r="AJ26" s="16"/>
      <c r="AK26" s="17"/>
      <c r="AL26" s="18"/>
    </row>
    <row r="27" spans="1:38" ht="25.5" customHeight="1">
      <c r="A27" s="23" t="s">
        <v>138</v>
      </c>
      <c r="B27" s="23"/>
      <c r="C27" s="23"/>
      <c r="D27" s="23"/>
      <c r="E27" s="23"/>
      <c r="F27" s="23"/>
      <c r="G27" s="23"/>
      <c r="H27" s="23"/>
      <c r="I27" s="5"/>
      <c r="J27" s="6"/>
      <c r="K27" s="23"/>
      <c r="L27" s="23"/>
      <c r="M27" s="7"/>
      <c r="N27" s="23"/>
      <c r="O27" s="29"/>
      <c r="P27" s="23"/>
      <c r="Q27" s="23"/>
      <c r="R27" s="23"/>
      <c r="S27" s="23"/>
      <c r="T27" s="9"/>
      <c r="U27" s="10"/>
      <c r="V27" s="2"/>
      <c r="W27" s="2"/>
      <c r="X27" s="2"/>
      <c r="Y27" s="11"/>
      <c r="Z27" s="23"/>
      <c r="AA27" s="29"/>
      <c r="AB27" s="23"/>
      <c r="AC27" s="23"/>
      <c r="AD27" s="23"/>
      <c r="AE27" s="8"/>
      <c r="AF27" s="23"/>
      <c r="AG27" s="23"/>
      <c r="AH27" s="36"/>
      <c r="AI27" s="21"/>
      <c r="AJ27" s="22"/>
      <c r="AK27" s="17"/>
      <c r="AL27" s="30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26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23" t="s">
        <v>138</v>
      </c>
      <c r="B3" s="35">
        <v>10.0527</v>
      </c>
      <c r="C3" s="35">
        <v>130</v>
      </c>
      <c r="D3" s="23">
        <v>712.13</v>
      </c>
      <c r="E3" s="23">
        <v>201.65</v>
      </c>
      <c r="F3" s="23">
        <v>0.71599999999999997</v>
      </c>
      <c r="G3" s="23">
        <v>0.60899999999999999</v>
      </c>
      <c r="H3" s="23">
        <v>40</v>
      </c>
      <c r="I3" s="5">
        <f t="shared" ref="I3:I25" si="0">(E4-E3)*40</f>
        <v>55.599999999999454</v>
      </c>
      <c r="J3" s="6">
        <f t="shared" ref="J3:J25" si="1">(D4-D3)*40</f>
        <v>188.40000000000146</v>
      </c>
      <c r="K3" s="23">
        <v>76930</v>
      </c>
      <c r="L3" s="23">
        <v>0.98699999999999999</v>
      </c>
      <c r="M3" s="7">
        <f t="shared" ref="M3:M25" si="2">(K4-K3)</f>
        <v>3</v>
      </c>
      <c r="N3" s="35">
        <v>78</v>
      </c>
      <c r="O3" s="8">
        <f t="shared" ref="O3:O25" si="3">(N4-N3)</f>
        <v>0</v>
      </c>
      <c r="P3" s="23">
        <v>514</v>
      </c>
      <c r="Q3" s="23">
        <v>0</v>
      </c>
      <c r="R3" s="23">
        <v>127595.51</v>
      </c>
      <c r="S3" s="23">
        <v>0.91800000000000004</v>
      </c>
      <c r="T3" s="9">
        <f t="shared" ref="T3:T25" si="4">(R4-R3)</f>
        <v>0</v>
      </c>
      <c r="U3" s="10">
        <f t="shared" ref="U3:U25" si="5">(J3+M3+O3+T3)</f>
        <v>191.40000000000146</v>
      </c>
      <c r="V3" s="35">
        <v>27</v>
      </c>
      <c r="W3" s="35">
        <v>31</v>
      </c>
      <c r="X3" s="35">
        <v>46</v>
      </c>
      <c r="Y3" s="11">
        <f t="shared" ref="Y3:Y25" si="6">SUM(V3:X3)</f>
        <v>104</v>
      </c>
      <c r="Z3" s="23">
        <v>65.818600000000004</v>
      </c>
      <c r="AA3" s="8">
        <f t="shared" ref="AA3:AA25" si="7">(Z4-Z3)</f>
        <v>0</v>
      </c>
      <c r="AB3" s="23">
        <v>3033.64</v>
      </c>
      <c r="AC3" s="23">
        <v>0</v>
      </c>
      <c r="AD3" s="23">
        <v>18619</v>
      </c>
      <c r="AE3" s="8">
        <f t="shared" ref="AE3:AE24" si="8">(AD4-AD3)</f>
        <v>0</v>
      </c>
      <c r="AF3" s="23">
        <v>1253</v>
      </c>
      <c r="AG3" s="23">
        <v>0</v>
      </c>
      <c r="AH3" s="14">
        <f t="shared" ref="AH3:AH25" si="9">Y3</f>
        <v>104</v>
      </c>
      <c r="AI3" s="15">
        <f t="shared" ref="AI3:AI25" si="10">I3</f>
        <v>55.599999999999454</v>
      </c>
      <c r="AJ3" s="16">
        <f t="shared" ref="AJ3:AJ25" si="11">(AH3-AI3)</f>
        <v>48.400000000000546</v>
      </c>
      <c r="AK3" s="17">
        <f t="shared" ref="AK3:AK25" si="12">(U3+AA3+AE3)</f>
        <v>191.40000000000146</v>
      </c>
      <c r="AL3" s="18">
        <f t="shared" ref="AL3:AL25" si="13">(AJ3+AK3)</f>
        <v>239.800000000002</v>
      </c>
    </row>
    <row r="4" spans="1:38" ht="25.5" customHeight="1">
      <c r="A4" s="23" t="s">
        <v>139</v>
      </c>
      <c r="B4" s="35">
        <v>10.1088</v>
      </c>
      <c r="C4" s="35">
        <v>56</v>
      </c>
      <c r="D4" s="23">
        <v>716.84</v>
      </c>
      <c r="E4" s="23">
        <v>203.04</v>
      </c>
      <c r="F4" s="23">
        <v>0.71699999999999997</v>
      </c>
      <c r="G4" s="23">
        <v>0.61</v>
      </c>
      <c r="H4" s="23">
        <v>40</v>
      </c>
      <c r="I4" s="5">
        <f t="shared" si="0"/>
        <v>68.400000000000318</v>
      </c>
      <c r="J4" s="6">
        <f t="shared" si="1"/>
        <v>224.00000000000091</v>
      </c>
      <c r="K4" s="23">
        <v>76933</v>
      </c>
      <c r="L4" s="23">
        <v>0.98699999999999999</v>
      </c>
      <c r="M4" s="7">
        <f t="shared" si="2"/>
        <v>7.8899999999994179</v>
      </c>
      <c r="N4" s="35">
        <v>78</v>
      </c>
      <c r="O4" s="8">
        <f t="shared" si="3"/>
        <v>0</v>
      </c>
      <c r="P4" s="23">
        <v>514</v>
      </c>
      <c r="Q4" s="23">
        <v>0</v>
      </c>
      <c r="R4" s="23">
        <v>127595.51</v>
      </c>
      <c r="S4" s="23">
        <v>0.91800000000000004</v>
      </c>
      <c r="T4" s="9">
        <f t="shared" si="4"/>
        <v>0</v>
      </c>
      <c r="U4" s="10">
        <f t="shared" si="5"/>
        <v>231.89000000000033</v>
      </c>
      <c r="V4" s="35">
        <v>80</v>
      </c>
      <c r="W4" s="35">
        <v>82</v>
      </c>
      <c r="X4" s="35">
        <v>68</v>
      </c>
      <c r="Y4" s="11">
        <f t="shared" si="6"/>
        <v>230</v>
      </c>
      <c r="Z4" s="23">
        <v>65.818600000000004</v>
      </c>
      <c r="AA4" s="8">
        <f t="shared" si="7"/>
        <v>3.479999999998995E-2</v>
      </c>
      <c r="AB4" s="23">
        <v>3033.65</v>
      </c>
      <c r="AC4" s="23">
        <v>0</v>
      </c>
      <c r="AD4" s="23">
        <v>18619</v>
      </c>
      <c r="AE4" s="8">
        <f t="shared" si="8"/>
        <v>1</v>
      </c>
      <c r="AF4" s="23">
        <v>1253</v>
      </c>
      <c r="AG4" s="23">
        <v>0</v>
      </c>
      <c r="AH4" s="14">
        <f t="shared" si="9"/>
        <v>230</v>
      </c>
      <c r="AI4" s="15">
        <f t="shared" si="10"/>
        <v>68.400000000000318</v>
      </c>
      <c r="AJ4" s="16">
        <f t="shared" si="11"/>
        <v>161.59999999999968</v>
      </c>
      <c r="AK4" s="17">
        <f t="shared" si="12"/>
        <v>232.92480000000032</v>
      </c>
      <c r="AL4" s="18">
        <f t="shared" si="13"/>
        <v>394.52480000000003</v>
      </c>
    </row>
    <row r="5" spans="1:38" ht="25.5" customHeight="1">
      <c r="A5" s="23" t="s">
        <v>140</v>
      </c>
      <c r="B5" s="35">
        <v>10.1875</v>
      </c>
      <c r="C5" s="35">
        <v>79</v>
      </c>
      <c r="D5" s="23">
        <v>722.44</v>
      </c>
      <c r="E5" s="23">
        <v>204.75</v>
      </c>
      <c r="F5" s="23">
        <v>0.747</v>
      </c>
      <c r="G5" s="23">
        <v>0.61</v>
      </c>
      <c r="H5" s="23">
        <v>40</v>
      </c>
      <c r="I5" s="5">
        <f t="shared" si="0"/>
        <v>79.199999999999591</v>
      </c>
      <c r="J5" s="6">
        <f t="shared" si="1"/>
        <v>192.39999999999782</v>
      </c>
      <c r="K5" s="23">
        <v>76940.89</v>
      </c>
      <c r="L5" s="23">
        <v>0.98699999999999999</v>
      </c>
      <c r="M5" s="7">
        <f t="shared" si="2"/>
        <v>14.94999999999709</v>
      </c>
      <c r="N5" s="23">
        <v>78</v>
      </c>
      <c r="O5" s="8">
        <f t="shared" si="3"/>
        <v>0</v>
      </c>
      <c r="P5" s="23">
        <v>514</v>
      </c>
      <c r="Q5" s="23">
        <v>0</v>
      </c>
      <c r="R5" s="23">
        <v>127595.51</v>
      </c>
      <c r="S5" s="23">
        <v>0.91800000000000004</v>
      </c>
      <c r="T5" s="9">
        <f t="shared" si="4"/>
        <v>0</v>
      </c>
      <c r="U5" s="10">
        <f t="shared" si="5"/>
        <v>207.34999999999491</v>
      </c>
      <c r="V5" s="35">
        <v>70</v>
      </c>
      <c r="W5" s="35">
        <v>75</v>
      </c>
      <c r="X5" s="35">
        <v>72</v>
      </c>
      <c r="Y5" s="11">
        <f t="shared" si="6"/>
        <v>217</v>
      </c>
      <c r="Z5" s="23">
        <v>65.853399999999993</v>
      </c>
      <c r="AA5" s="8">
        <f t="shared" si="7"/>
        <v>0</v>
      </c>
      <c r="AB5" s="23">
        <v>3033.67</v>
      </c>
      <c r="AC5" s="23">
        <v>0</v>
      </c>
      <c r="AD5" s="23">
        <v>18620</v>
      </c>
      <c r="AE5" s="8">
        <f t="shared" si="8"/>
        <v>0</v>
      </c>
      <c r="AF5" s="23">
        <v>1253.4000000000001</v>
      </c>
      <c r="AG5" s="23">
        <v>0</v>
      </c>
      <c r="AH5" s="14">
        <f t="shared" si="9"/>
        <v>217</v>
      </c>
      <c r="AI5" s="15">
        <f t="shared" si="10"/>
        <v>79.199999999999591</v>
      </c>
      <c r="AJ5" s="16">
        <f t="shared" si="11"/>
        <v>137.80000000000041</v>
      </c>
      <c r="AK5" s="17">
        <f t="shared" si="12"/>
        <v>207.34999999999491</v>
      </c>
      <c r="AL5" s="18">
        <f t="shared" si="13"/>
        <v>345.14999999999532</v>
      </c>
    </row>
    <row r="6" spans="1:38" ht="25.5" customHeight="1">
      <c r="A6" s="23" t="s">
        <v>141</v>
      </c>
      <c r="B6" s="35">
        <v>10.2479</v>
      </c>
      <c r="C6" s="35">
        <v>60</v>
      </c>
      <c r="D6" s="23">
        <v>727.25</v>
      </c>
      <c r="E6" s="23">
        <v>206.73</v>
      </c>
      <c r="F6" s="23">
        <v>0.72799999999999998</v>
      </c>
      <c r="G6" s="23">
        <v>0.57199999999999995</v>
      </c>
      <c r="H6" s="23">
        <v>40</v>
      </c>
      <c r="I6" s="5">
        <f t="shared" si="0"/>
        <v>162.80000000000086</v>
      </c>
      <c r="J6" s="6">
        <f t="shared" si="1"/>
        <v>797.60000000000218</v>
      </c>
      <c r="K6" s="23">
        <v>76955.839999999997</v>
      </c>
      <c r="L6" s="23">
        <v>0.98699999999999999</v>
      </c>
      <c r="M6" s="7">
        <f t="shared" si="2"/>
        <v>35.059999999997672</v>
      </c>
      <c r="N6" s="23">
        <v>78</v>
      </c>
      <c r="O6" s="8">
        <f t="shared" si="3"/>
        <v>0</v>
      </c>
      <c r="P6" s="23">
        <v>514</v>
      </c>
      <c r="Q6" s="23">
        <v>0</v>
      </c>
      <c r="R6" s="23">
        <v>127595.51</v>
      </c>
      <c r="S6" s="23">
        <v>0.91800000000000004</v>
      </c>
      <c r="T6" s="9">
        <f t="shared" si="4"/>
        <v>0</v>
      </c>
      <c r="U6" s="10">
        <f t="shared" si="5"/>
        <v>832.65999999999985</v>
      </c>
      <c r="V6" s="35">
        <v>90</v>
      </c>
      <c r="W6" s="35">
        <v>95</v>
      </c>
      <c r="X6" s="35">
        <v>97</v>
      </c>
      <c r="Y6" s="11">
        <f t="shared" si="6"/>
        <v>282</v>
      </c>
      <c r="Z6" s="23">
        <v>65.853399999999993</v>
      </c>
      <c r="AA6" s="8">
        <f t="shared" si="7"/>
        <v>0</v>
      </c>
      <c r="AB6" s="23">
        <v>3033.68</v>
      </c>
      <c r="AC6" s="23">
        <v>0</v>
      </c>
      <c r="AD6" s="23">
        <v>18620</v>
      </c>
      <c r="AE6" s="8">
        <f t="shared" si="8"/>
        <v>3</v>
      </c>
      <c r="AF6" s="23">
        <v>1253.5</v>
      </c>
      <c r="AG6" s="23">
        <v>0</v>
      </c>
      <c r="AH6" s="14">
        <f t="shared" si="9"/>
        <v>282</v>
      </c>
      <c r="AI6" s="15">
        <f t="shared" si="10"/>
        <v>162.80000000000086</v>
      </c>
      <c r="AJ6" s="16">
        <f t="shared" si="11"/>
        <v>119.19999999999914</v>
      </c>
      <c r="AK6" s="17">
        <f t="shared" si="12"/>
        <v>835.65999999999985</v>
      </c>
      <c r="AL6" s="18">
        <f t="shared" si="13"/>
        <v>954.85999999999899</v>
      </c>
    </row>
    <row r="7" spans="1:38" ht="25.5" customHeight="1">
      <c r="A7" s="23" t="s">
        <v>142</v>
      </c>
      <c r="B7" s="35">
        <v>10.465</v>
      </c>
      <c r="C7" s="35">
        <v>67</v>
      </c>
      <c r="D7" s="23">
        <v>747.19</v>
      </c>
      <c r="E7" s="23">
        <v>210.8</v>
      </c>
      <c r="F7" s="23">
        <v>0.73499999999999999</v>
      </c>
      <c r="G7" s="23">
        <v>0.57499999999999996</v>
      </c>
      <c r="H7" s="23">
        <v>40</v>
      </c>
      <c r="I7" s="5">
        <f t="shared" si="0"/>
        <v>19.199999999999591</v>
      </c>
      <c r="J7" s="6">
        <f t="shared" si="1"/>
        <v>241.19999999999891</v>
      </c>
      <c r="K7" s="23">
        <v>76990.899999999994</v>
      </c>
      <c r="L7" s="23">
        <v>0.98699999999999999</v>
      </c>
      <c r="M7" s="7">
        <f t="shared" si="2"/>
        <v>6</v>
      </c>
      <c r="N7" s="23">
        <v>78</v>
      </c>
      <c r="O7" s="8">
        <f t="shared" si="3"/>
        <v>0</v>
      </c>
      <c r="P7" s="23">
        <v>514</v>
      </c>
      <c r="Q7" s="23">
        <v>0</v>
      </c>
      <c r="R7" s="23">
        <v>127595.51</v>
      </c>
      <c r="S7" s="23">
        <v>0.91800000000000004</v>
      </c>
      <c r="T7" s="9">
        <f t="shared" si="4"/>
        <v>0</v>
      </c>
      <c r="U7" s="10">
        <f t="shared" si="5"/>
        <v>247.19999999999891</v>
      </c>
      <c r="V7" s="35">
        <v>48</v>
      </c>
      <c r="W7" s="35">
        <v>55</v>
      </c>
      <c r="X7" s="35">
        <v>59</v>
      </c>
      <c r="Y7" s="11">
        <f t="shared" si="6"/>
        <v>162</v>
      </c>
      <c r="Z7" s="23">
        <v>65.853399999999993</v>
      </c>
      <c r="AA7" s="8">
        <f t="shared" si="7"/>
        <v>0</v>
      </c>
      <c r="AB7" s="23">
        <v>3033.69</v>
      </c>
      <c r="AC7" s="23">
        <v>0</v>
      </c>
      <c r="AD7" s="23">
        <v>18623</v>
      </c>
      <c r="AE7" s="8">
        <f t="shared" si="8"/>
        <v>0</v>
      </c>
      <c r="AF7" s="23">
        <v>1253.8</v>
      </c>
      <c r="AG7" s="23">
        <v>0</v>
      </c>
      <c r="AH7" s="14">
        <f t="shared" si="9"/>
        <v>162</v>
      </c>
      <c r="AI7" s="15">
        <f t="shared" si="10"/>
        <v>19.199999999999591</v>
      </c>
      <c r="AJ7" s="16">
        <f t="shared" si="11"/>
        <v>142.80000000000041</v>
      </c>
      <c r="AK7" s="17">
        <f t="shared" si="12"/>
        <v>247.19999999999891</v>
      </c>
      <c r="AL7" s="18">
        <f t="shared" si="13"/>
        <v>389.99999999999932</v>
      </c>
    </row>
    <row r="8" spans="1:38" ht="25.5" customHeight="1">
      <c r="A8" s="23" t="s">
        <v>143</v>
      </c>
      <c r="B8" s="35">
        <v>10.548999999999999</v>
      </c>
      <c r="C8" s="35">
        <v>84</v>
      </c>
      <c r="D8" s="23">
        <v>753.22</v>
      </c>
      <c r="E8" s="23">
        <v>211.28</v>
      </c>
      <c r="F8" s="23">
        <v>0.73</v>
      </c>
      <c r="G8" s="23">
        <v>0.55400000000000005</v>
      </c>
      <c r="H8" s="23">
        <v>40</v>
      </c>
      <c r="I8" s="5">
        <f t="shared" si="0"/>
        <v>35.199999999999818</v>
      </c>
      <c r="J8" s="6">
        <f t="shared" si="1"/>
        <v>157.59999999999764</v>
      </c>
      <c r="K8" s="23">
        <v>76996.899999999994</v>
      </c>
      <c r="L8" s="23">
        <v>0.98699999999999999</v>
      </c>
      <c r="M8" s="7">
        <f t="shared" si="2"/>
        <v>3.1000000000058208</v>
      </c>
      <c r="N8" s="23">
        <v>78</v>
      </c>
      <c r="O8" s="8">
        <f t="shared" si="3"/>
        <v>0</v>
      </c>
      <c r="P8" s="23">
        <v>514</v>
      </c>
      <c r="Q8" s="23">
        <v>0</v>
      </c>
      <c r="R8" s="23">
        <v>127595.51</v>
      </c>
      <c r="S8" s="23">
        <v>0.91800000000000004</v>
      </c>
      <c r="T8" s="9">
        <f t="shared" si="4"/>
        <v>0</v>
      </c>
      <c r="U8" s="10">
        <f t="shared" si="5"/>
        <v>160.70000000000346</v>
      </c>
      <c r="V8" s="35">
        <v>45</v>
      </c>
      <c r="W8" s="35">
        <v>47</v>
      </c>
      <c r="X8" s="35">
        <v>49</v>
      </c>
      <c r="Y8" s="11">
        <f t="shared" si="6"/>
        <v>141</v>
      </c>
      <c r="Z8" s="23">
        <v>65.853399999999993</v>
      </c>
      <c r="AA8" s="8">
        <f t="shared" si="7"/>
        <v>0</v>
      </c>
      <c r="AB8" s="23">
        <v>3033.71</v>
      </c>
      <c r="AC8" s="23">
        <v>0</v>
      </c>
      <c r="AD8" s="23">
        <v>18623</v>
      </c>
      <c r="AE8" s="8">
        <f t="shared" si="8"/>
        <v>0</v>
      </c>
      <c r="AF8" s="23">
        <v>1253.8</v>
      </c>
      <c r="AG8" s="23">
        <v>0</v>
      </c>
      <c r="AH8" s="14">
        <f t="shared" si="9"/>
        <v>141</v>
      </c>
      <c r="AI8" s="15">
        <f t="shared" si="10"/>
        <v>35.199999999999818</v>
      </c>
      <c r="AJ8" s="16">
        <f t="shared" si="11"/>
        <v>105.80000000000018</v>
      </c>
      <c r="AK8" s="17">
        <f t="shared" si="12"/>
        <v>160.70000000000346</v>
      </c>
      <c r="AL8" s="18">
        <f t="shared" si="13"/>
        <v>266.50000000000364</v>
      </c>
    </row>
    <row r="9" spans="1:38" ht="25.5" customHeight="1">
      <c r="A9" s="23" t="s">
        <v>144</v>
      </c>
      <c r="B9" s="35">
        <v>10.61</v>
      </c>
      <c r="C9" s="35">
        <v>61</v>
      </c>
      <c r="D9" s="23">
        <v>757.16</v>
      </c>
      <c r="E9" s="23">
        <v>212.16</v>
      </c>
      <c r="F9" s="23">
        <v>0.71799999999999997</v>
      </c>
      <c r="G9" s="23">
        <v>0.54500000000000004</v>
      </c>
      <c r="H9" s="23">
        <v>40</v>
      </c>
      <c r="I9" s="5">
        <f t="shared" si="0"/>
        <v>72.400000000000091</v>
      </c>
      <c r="J9" s="6">
        <f t="shared" si="1"/>
        <v>218.00000000000182</v>
      </c>
      <c r="K9" s="23">
        <v>77000</v>
      </c>
      <c r="L9" s="23">
        <v>0.98699999999999999</v>
      </c>
      <c r="M9" s="7">
        <f t="shared" si="2"/>
        <v>8</v>
      </c>
      <c r="N9" s="23">
        <v>78</v>
      </c>
      <c r="O9" s="8">
        <f t="shared" si="3"/>
        <v>0</v>
      </c>
      <c r="P9" s="23">
        <v>514</v>
      </c>
      <c r="Q9" s="23">
        <v>0</v>
      </c>
      <c r="R9" s="23">
        <v>127595.51</v>
      </c>
      <c r="S9" s="23">
        <v>0.91800000000000004</v>
      </c>
      <c r="T9" s="9">
        <f t="shared" si="4"/>
        <v>0</v>
      </c>
      <c r="U9" s="10">
        <f t="shared" si="5"/>
        <v>226.00000000000182</v>
      </c>
      <c r="V9" s="35">
        <v>69</v>
      </c>
      <c r="W9" s="35">
        <v>72</v>
      </c>
      <c r="X9" s="35">
        <v>79</v>
      </c>
      <c r="Y9" s="11">
        <f t="shared" si="6"/>
        <v>220</v>
      </c>
      <c r="Z9" s="23">
        <v>65.853399999999993</v>
      </c>
      <c r="AA9" s="8">
        <f t="shared" si="7"/>
        <v>0</v>
      </c>
      <c r="AB9" s="23">
        <v>3033.73</v>
      </c>
      <c r="AC9" s="23">
        <v>0</v>
      </c>
      <c r="AD9" s="23">
        <v>18623</v>
      </c>
      <c r="AE9" s="8">
        <f t="shared" si="8"/>
        <v>2</v>
      </c>
      <c r="AF9" s="23">
        <v>1253.8</v>
      </c>
      <c r="AG9" s="23">
        <v>0</v>
      </c>
      <c r="AH9" s="14">
        <f t="shared" si="9"/>
        <v>220</v>
      </c>
      <c r="AI9" s="15">
        <f t="shared" si="10"/>
        <v>72.400000000000091</v>
      </c>
      <c r="AJ9" s="16">
        <f t="shared" si="11"/>
        <v>147.59999999999991</v>
      </c>
      <c r="AK9" s="17">
        <f t="shared" si="12"/>
        <v>228.00000000000182</v>
      </c>
      <c r="AL9" s="18">
        <f t="shared" si="13"/>
        <v>375.60000000000173</v>
      </c>
    </row>
    <row r="10" spans="1:38" ht="25.5" customHeight="1">
      <c r="A10" s="23" t="s">
        <v>145</v>
      </c>
      <c r="B10" s="35">
        <v>10.688000000000001</v>
      </c>
      <c r="C10" s="35">
        <v>77.900000000000006</v>
      </c>
      <c r="D10" s="23">
        <v>762.61</v>
      </c>
      <c r="E10" s="23">
        <v>213.97</v>
      </c>
      <c r="F10" s="23">
        <v>0.71899999999999997</v>
      </c>
      <c r="G10" s="23">
        <v>0.54800000000000004</v>
      </c>
      <c r="H10" s="23">
        <v>40</v>
      </c>
      <c r="I10" s="5">
        <f t="shared" si="0"/>
        <v>108.79999999999995</v>
      </c>
      <c r="J10" s="6">
        <f t="shared" si="1"/>
        <v>173.60000000000127</v>
      </c>
      <c r="K10" s="23">
        <v>77008</v>
      </c>
      <c r="L10" s="23">
        <v>0.98699999999999999</v>
      </c>
      <c r="M10" s="7">
        <f t="shared" si="2"/>
        <v>7.8999999999941792</v>
      </c>
      <c r="N10" s="23">
        <v>78</v>
      </c>
      <c r="O10" s="8">
        <f t="shared" si="3"/>
        <v>0</v>
      </c>
      <c r="P10" s="23">
        <v>514</v>
      </c>
      <c r="Q10" s="23">
        <v>0</v>
      </c>
      <c r="R10" s="23">
        <v>127595.51</v>
      </c>
      <c r="S10" s="23">
        <v>0.91800000000000004</v>
      </c>
      <c r="T10" s="9">
        <f t="shared" si="4"/>
        <v>0</v>
      </c>
      <c r="U10" s="10">
        <f t="shared" si="5"/>
        <v>181.49999999999545</v>
      </c>
      <c r="V10" s="35">
        <v>108</v>
      </c>
      <c r="W10" s="35">
        <v>114</v>
      </c>
      <c r="X10" s="35">
        <v>97</v>
      </c>
      <c r="Y10" s="11">
        <f t="shared" si="6"/>
        <v>319</v>
      </c>
      <c r="Z10" s="23">
        <v>65.853399999999993</v>
      </c>
      <c r="AA10" s="8">
        <f t="shared" si="7"/>
        <v>0</v>
      </c>
      <c r="AB10" s="23">
        <v>3033.75</v>
      </c>
      <c r="AC10" s="23">
        <v>0</v>
      </c>
      <c r="AD10" s="23">
        <v>18625</v>
      </c>
      <c r="AE10" s="8">
        <f t="shared" si="8"/>
        <v>0</v>
      </c>
      <c r="AF10" s="23">
        <v>1254.01</v>
      </c>
      <c r="AG10" s="23">
        <v>0</v>
      </c>
      <c r="AH10" s="14">
        <f t="shared" si="9"/>
        <v>319</v>
      </c>
      <c r="AI10" s="15">
        <f t="shared" si="10"/>
        <v>108.79999999999995</v>
      </c>
      <c r="AJ10" s="16">
        <f t="shared" si="11"/>
        <v>210.20000000000005</v>
      </c>
      <c r="AK10" s="17">
        <f t="shared" si="12"/>
        <v>181.49999999999545</v>
      </c>
      <c r="AL10" s="18">
        <f t="shared" si="13"/>
        <v>391.6999999999955</v>
      </c>
    </row>
    <row r="11" spans="1:38" ht="25.5" customHeight="1">
      <c r="A11" s="23" t="s">
        <v>146</v>
      </c>
      <c r="B11" s="35">
        <v>10.773</v>
      </c>
      <c r="C11" s="35">
        <v>85</v>
      </c>
      <c r="D11" s="23">
        <v>766.95</v>
      </c>
      <c r="E11" s="23">
        <v>216.69</v>
      </c>
      <c r="F11" s="23">
        <v>0.72</v>
      </c>
      <c r="G11" s="23">
        <v>0.55500000000000005</v>
      </c>
      <c r="H11" s="23">
        <v>40</v>
      </c>
      <c r="I11" s="5">
        <f t="shared" si="0"/>
        <v>97.200000000000273</v>
      </c>
      <c r="J11" s="6">
        <f t="shared" si="1"/>
        <v>193.99999999999636</v>
      </c>
      <c r="K11" s="23">
        <v>77015.899999999994</v>
      </c>
      <c r="L11" s="23">
        <v>0.98699999999999999</v>
      </c>
      <c r="M11" s="7">
        <f t="shared" si="2"/>
        <v>4.9600000000064028</v>
      </c>
      <c r="N11" s="23">
        <v>78</v>
      </c>
      <c r="O11" s="8">
        <f t="shared" si="3"/>
        <v>0</v>
      </c>
      <c r="P11" s="23">
        <v>514</v>
      </c>
      <c r="Q11" s="23">
        <v>0</v>
      </c>
      <c r="R11" s="23">
        <v>127595.51</v>
      </c>
      <c r="S11" s="23">
        <v>0.91800000000000004</v>
      </c>
      <c r="T11" s="9">
        <f t="shared" si="4"/>
        <v>0</v>
      </c>
      <c r="U11" s="10">
        <f t="shared" si="5"/>
        <v>198.96000000000276</v>
      </c>
      <c r="V11" s="35">
        <v>103</v>
      </c>
      <c r="W11" s="35">
        <v>106</v>
      </c>
      <c r="X11" s="35">
        <v>88</v>
      </c>
      <c r="Y11" s="11">
        <f t="shared" si="6"/>
        <v>297</v>
      </c>
      <c r="Z11" s="23">
        <v>65.853399999999993</v>
      </c>
      <c r="AA11" s="8">
        <f t="shared" si="7"/>
        <v>0</v>
      </c>
      <c r="AB11" s="23">
        <v>3033.76</v>
      </c>
      <c r="AC11" s="23">
        <v>0</v>
      </c>
      <c r="AD11" s="23">
        <v>18625</v>
      </c>
      <c r="AE11" s="8">
        <f t="shared" si="8"/>
        <v>0</v>
      </c>
      <c r="AF11" s="23">
        <v>1254.01</v>
      </c>
      <c r="AG11" s="23">
        <v>0</v>
      </c>
      <c r="AH11" s="14">
        <f t="shared" si="9"/>
        <v>297</v>
      </c>
      <c r="AI11" s="15">
        <f t="shared" si="10"/>
        <v>97.200000000000273</v>
      </c>
      <c r="AJ11" s="16">
        <f t="shared" si="11"/>
        <v>199.79999999999973</v>
      </c>
      <c r="AK11" s="17">
        <f t="shared" si="12"/>
        <v>198.96000000000276</v>
      </c>
      <c r="AL11" s="18">
        <f t="shared" si="13"/>
        <v>398.76000000000249</v>
      </c>
    </row>
    <row r="12" spans="1:38" ht="25.5" customHeight="1">
      <c r="A12" s="23" t="s">
        <v>147</v>
      </c>
      <c r="B12" s="35">
        <v>10.871</v>
      </c>
      <c r="C12" s="35">
        <v>92</v>
      </c>
      <c r="D12" s="23">
        <v>771.8</v>
      </c>
      <c r="E12" s="23">
        <v>219.12</v>
      </c>
      <c r="F12" s="23">
        <v>0.71799999999999997</v>
      </c>
      <c r="G12" s="23">
        <v>0.55400000000000005</v>
      </c>
      <c r="H12" s="23">
        <v>40</v>
      </c>
      <c r="I12" s="5">
        <f t="shared" si="0"/>
        <v>92.799999999999727</v>
      </c>
      <c r="J12" s="6">
        <f t="shared" si="1"/>
        <v>166.40000000000327</v>
      </c>
      <c r="K12" s="23">
        <v>77020.86</v>
      </c>
      <c r="L12" s="23">
        <v>0.98699999999999999</v>
      </c>
      <c r="M12" s="7">
        <f t="shared" si="2"/>
        <v>8.0099999999947613</v>
      </c>
      <c r="N12" s="23">
        <v>78</v>
      </c>
      <c r="O12" s="8">
        <f t="shared" si="3"/>
        <v>0</v>
      </c>
      <c r="P12" s="23">
        <v>514</v>
      </c>
      <c r="Q12" s="23">
        <v>0</v>
      </c>
      <c r="R12" s="23">
        <v>127595.51</v>
      </c>
      <c r="S12" s="23">
        <v>0.91800000000000004</v>
      </c>
      <c r="T12" s="9">
        <f t="shared" si="4"/>
        <v>0</v>
      </c>
      <c r="U12" s="10">
        <f t="shared" si="5"/>
        <v>174.40999999999804</v>
      </c>
      <c r="V12" s="35">
        <v>93</v>
      </c>
      <c r="W12" s="35">
        <v>97</v>
      </c>
      <c r="X12" s="35">
        <v>81</v>
      </c>
      <c r="Y12" s="11">
        <f t="shared" si="6"/>
        <v>271</v>
      </c>
      <c r="Z12" s="23">
        <v>65.853399999999993</v>
      </c>
      <c r="AA12" s="8">
        <f t="shared" si="7"/>
        <v>0</v>
      </c>
      <c r="AB12" s="23">
        <v>3033.77</v>
      </c>
      <c r="AC12" s="23">
        <v>0</v>
      </c>
      <c r="AD12" s="23">
        <v>18625</v>
      </c>
      <c r="AE12" s="8">
        <f t="shared" si="8"/>
        <v>0</v>
      </c>
      <c r="AF12" s="23">
        <v>1254</v>
      </c>
      <c r="AG12" s="23">
        <v>0</v>
      </c>
      <c r="AH12" s="14">
        <f t="shared" si="9"/>
        <v>271</v>
      </c>
      <c r="AI12" s="15">
        <f t="shared" si="10"/>
        <v>92.799999999999727</v>
      </c>
      <c r="AJ12" s="16">
        <f t="shared" si="11"/>
        <v>178.20000000000027</v>
      </c>
      <c r="AK12" s="17">
        <f t="shared" si="12"/>
        <v>174.40999999999804</v>
      </c>
      <c r="AL12" s="18">
        <f t="shared" si="13"/>
        <v>352.60999999999831</v>
      </c>
    </row>
    <row r="13" spans="1:38" ht="25.5" customHeight="1">
      <c r="A13" s="23" t="s">
        <v>148</v>
      </c>
      <c r="B13" s="35">
        <v>10.933</v>
      </c>
      <c r="C13" s="35">
        <v>62</v>
      </c>
      <c r="D13" s="23">
        <v>775.96</v>
      </c>
      <c r="E13" s="23">
        <v>221.44</v>
      </c>
      <c r="F13" s="23">
        <v>0.71599999999999997</v>
      </c>
      <c r="G13" s="23">
        <v>0.55400000000000005</v>
      </c>
      <c r="H13" s="23">
        <v>40</v>
      </c>
      <c r="I13" s="5">
        <f t="shared" si="0"/>
        <v>103.99999999999977</v>
      </c>
      <c r="J13" s="6">
        <f t="shared" si="1"/>
        <v>347.199999999998</v>
      </c>
      <c r="K13" s="23">
        <v>77028.87</v>
      </c>
      <c r="L13" s="23">
        <v>0.98699999999999999</v>
      </c>
      <c r="M13" s="7">
        <f t="shared" si="2"/>
        <v>6.5</v>
      </c>
      <c r="N13" s="23">
        <v>78</v>
      </c>
      <c r="O13" s="8">
        <f t="shared" si="3"/>
        <v>0</v>
      </c>
      <c r="P13" s="23">
        <v>514</v>
      </c>
      <c r="Q13" s="23">
        <v>0</v>
      </c>
      <c r="R13" s="23">
        <v>127595.51</v>
      </c>
      <c r="S13" s="23">
        <v>0.91800000000000004</v>
      </c>
      <c r="T13" s="9">
        <f t="shared" si="4"/>
        <v>0</v>
      </c>
      <c r="U13" s="10">
        <f t="shared" si="5"/>
        <v>353.699999999998</v>
      </c>
      <c r="V13" s="35">
        <v>44</v>
      </c>
      <c r="W13" s="35">
        <v>45</v>
      </c>
      <c r="X13" s="35">
        <v>48</v>
      </c>
      <c r="Y13" s="11">
        <f t="shared" si="6"/>
        <v>137</v>
      </c>
      <c r="Z13" s="23">
        <v>65.853399999999993</v>
      </c>
      <c r="AA13" s="8">
        <f t="shared" si="7"/>
        <v>0</v>
      </c>
      <c r="AB13" s="23">
        <v>3033.79</v>
      </c>
      <c r="AC13" s="23">
        <v>0</v>
      </c>
      <c r="AD13" s="23">
        <v>18625</v>
      </c>
      <c r="AE13" s="8">
        <f t="shared" si="8"/>
        <v>12</v>
      </c>
      <c r="AF13" s="23">
        <v>1254</v>
      </c>
      <c r="AG13" s="23">
        <v>0</v>
      </c>
      <c r="AH13" s="14">
        <f t="shared" si="9"/>
        <v>137</v>
      </c>
      <c r="AI13" s="15">
        <f t="shared" si="10"/>
        <v>103.99999999999977</v>
      </c>
      <c r="AJ13" s="16">
        <f t="shared" si="11"/>
        <v>33.000000000000227</v>
      </c>
      <c r="AK13" s="17">
        <f t="shared" si="12"/>
        <v>365.699999999998</v>
      </c>
      <c r="AL13" s="18">
        <f t="shared" si="13"/>
        <v>398.69999999999823</v>
      </c>
    </row>
    <row r="14" spans="1:38" ht="25.5" customHeight="1">
      <c r="A14" s="23" t="s">
        <v>149</v>
      </c>
      <c r="B14" s="35">
        <v>10.9544</v>
      </c>
      <c r="C14" s="35">
        <v>21</v>
      </c>
      <c r="D14" s="23">
        <v>784.64</v>
      </c>
      <c r="E14" s="23">
        <v>224.04</v>
      </c>
      <c r="F14" s="23">
        <v>0.71799999999999997</v>
      </c>
      <c r="G14" s="23">
        <v>0.58599999999999997</v>
      </c>
      <c r="H14" s="23">
        <v>40</v>
      </c>
      <c r="I14" s="5">
        <f t="shared" si="0"/>
        <v>10</v>
      </c>
      <c r="J14" s="6">
        <f t="shared" si="1"/>
        <v>260</v>
      </c>
      <c r="K14" s="23">
        <v>77035.37</v>
      </c>
      <c r="L14" s="23">
        <v>0.98699999999999999</v>
      </c>
      <c r="M14" s="7">
        <f t="shared" si="2"/>
        <v>4.1399999999994179</v>
      </c>
      <c r="N14" s="23">
        <v>78</v>
      </c>
      <c r="O14" s="8">
        <f t="shared" si="3"/>
        <v>0</v>
      </c>
      <c r="P14" s="23">
        <v>514</v>
      </c>
      <c r="Q14" s="23">
        <v>0</v>
      </c>
      <c r="R14" s="23">
        <v>127595.51</v>
      </c>
      <c r="S14" s="23">
        <v>0.91800000000000004</v>
      </c>
      <c r="T14" s="9">
        <f t="shared" si="4"/>
        <v>0</v>
      </c>
      <c r="U14" s="10">
        <f t="shared" si="5"/>
        <v>264.13999999999942</v>
      </c>
      <c r="V14" s="35">
        <v>35</v>
      </c>
      <c r="W14" s="35">
        <v>38</v>
      </c>
      <c r="X14" s="35">
        <v>34</v>
      </c>
      <c r="Y14" s="11">
        <f t="shared" si="6"/>
        <v>107</v>
      </c>
      <c r="Z14" s="23">
        <v>65.853399999999993</v>
      </c>
      <c r="AA14" s="8">
        <f t="shared" si="7"/>
        <v>0</v>
      </c>
      <c r="AB14" s="23">
        <v>3033.82</v>
      </c>
      <c r="AC14" s="23">
        <v>0</v>
      </c>
      <c r="AD14" s="23">
        <v>18637</v>
      </c>
      <c r="AE14" s="8">
        <f t="shared" si="8"/>
        <v>0</v>
      </c>
      <c r="AF14" s="23">
        <v>1257.4000000000001</v>
      </c>
      <c r="AG14" s="23">
        <v>0</v>
      </c>
      <c r="AH14" s="14">
        <f t="shared" si="9"/>
        <v>107</v>
      </c>
      <c r="AI14" s="15">
        <f t="shared" si="10"/>
        <v>10</v>
      </c>
      <c r="AJ14" s="16">
        <f t="shared" si="11"/>
        <v>97</v>
      </c>
      <c r="AK14" s="17">
        <f t="shared" si="12"/>
        <v>264.13999999999942</v>
      </c>
      <c r="AL14" s="18">
        <f t="shared" si="13"/>
        <v>361.13999999999942</v>
      </c>
    </row>
    <row r="15" spans="1:38" ht="25.5" customHeight="1">
      <c r="A15" s="23" t="s">
        <v>150</v>
      </c>
      <c r="B15" s="35">
        <v>11.082000000000001</v>
      </c>
      <c r="C15" s="35">
        <v>27.5</v>
      </c>
      <c r="D15" s="23">
        <v>791.14</v>
      </c>
      <c r="E15" s="23">
        <v>224.29</v>
      </c>
      <c r="F15" s="23">
        <v>0.71499999999999997</v>
      </c>
      <c r="G15" s="23">
        <v>0.57699999999999996</v>
      </c>
      <c r="H15" s="23">
        <v>40</v>
      </c>
      <c r="I15" s="5">
        <f t="shared" si="0"/>
        <v>22.000000000000455</v>
      </c>
      <c r="J15" s="6">
        <f t="shared" si="1"/>
        <v>340.39999999999964</v>
      </c>
      <c r="K15" s="23">
        <v>77039.509999999995</v>
      </c>
      <c r="L15" s="23">
        <v>0.98699999999999999</v>
      </c>
      <c r="M15" s="7">
        <f t="shared" si="2"/>
        <v>6.1500000000087311</v>
      </c>
      <c r="N15" s="23">
        <v>78</v>
      </c>
      <c r="O15" s="8">
        <f t="shared" si="3"/>
        <v>0</v>
      </c>
      <c r="P15" s="23">
        <v>514</v>
      </c>
      <c r="Q15" s="23">
        <v>0</v>
      </c>
      <c r="R15" s="23">
        <v>127595.51</v>
      </c>
      <c r="S15" s="23">
        <v>0.91800000000000004</v>
      </c>
      <c r="T15" s="9">
        <f t="shared" si="4"/>
        <v>0</v>
      </c>
      <c r="U15" s="10">
        <f t="shared" si="5"/>
        <v>346.55000000000837</v>
      </c>
      <c r="V15" s="35">
        <v>34</v>
      </c>
      <c r="W15" s="35">
        <v>37</v>
      </c>
      <c r="X15" s="35">
        <v>35</v>
      </c>
      <c r="Y15" s="11">
        <f t="shared" si="6"/>
        <v>106</v>
      </c>
      <c r="Z15" s="23">
        <v>65.853399999999993</v>
      </c>
      <c r="AA15" s="8">
        <f t="shared" si="7"/>
        <v>0</v>
      </c>
      <c r="AB15" s="23">
        <v>3033.83</v>
      </c>
      <c r="AC15" s="23">
        <v>0</v>
      </c>
      <c r="AD15" s="23">
        <v>18637</v>
      </c>
      <c r="AE15" s="8">
        <f t="shared" si="8"/>
        <v>0</v>
      </c>
      <c r="AF15" s="23">
        <v>1257.5</v>
      </c>
      <c r="AG15" s="23">
        <v>0</v>
      </c>
      <c r="AH15" s="14">
        <f t="shared" si="9"/>
        <v>106</v>
      </c>
      <c r="AI15" s="15">
        <f t="shared" si="10"/>
        <v>22.000000000000455</v>
      </c>
      <c r="AJ15" s="16">
        <f t="shared" si="11"/>
        <v>83.999999999999545</v>
      </c>
      <c r="AK15" s="17">
        <f t="shared" si="12"/>
        <v>346.55000000000837</v>
      </c>
      <c r="AL15" s="18">
        <f t="shared" si="13"/>
        <v>430.55000000000791</v>
      </c>
    </row>
    <row r="16" spans="1:38" ht="25.5" customHeight="1">
      <c r="A16" s="23" t="s">
        <v>151</v>
      </c>
      <c r="B16" s="35">
        <v>11.206</v>
      </c>
      <c r="C16" s="35">
        <v>124</v>
      </c>
      <c r="D16" s="23">
        <v>799.65</v>
      </c>
      <c r="E16" s="23">
        <v>224.84</v>
      </c>
      <c r="F16" s="23">
        <v>0.71799999999999997</v>
      </c>
      <c r="G16" s="23">
        <v>0.57899999999999996</v>
      </c>
      <c r="H16" s="23">
        <v>40</v>
      </c>
      <c r="I16" s="5">
        <f t="shared" si="0"/>
        <v>59.199999999999591</v>
      </c>
      <c r="J16" s="6">
        <f t="shared" si="1"/>
        <v>240.79999999999927</v>
      </c>
      <c r="K16" s="23">
        <v>77045.66</v>
      </c>
      <c r="L16" s="23">
        <v>0.98699999999999999</v>
      </c>
      <c r="M16" s="7">
        <f t="shared" si="2"/>
        <v>4.9899999999906868</v>
      </c>
      <c r="N16" s="23">
        <v>78</v>
      </c>
      <c r="O16" s="8">
        <f t="shared" si="3"/>
        <v>0</v>
      </c>
      <c r="P16" s="23">
        <v>514</v>
      </c>
      <c r="Q16" s="23">
        <v>0</v>
      </c>
      <c r="R16" s="23">
        <v>127595.51</v>
      </c>
      <c r="S16" s="23">
        <v>0.91800000000000004</v>
      </c>
      <c r="T16" s="9">
        <f t="shared" si="4"/>
        <v>0</v>
      </c>
      <c r="U16" s="10">
        <f t="shared" si="5"/>
        <v>245.78999999998996</v>
      </c>
      <c r="V16" s="35">
        <v>61</v>
      </c>
      <c r="W16" s="35">
        <v>56</v>
      </c>
      <c r="X16" s="35">
        <v>42</v>
      </c>
      <c r="Y16" s="11">
        <f t="shared" si="6"/>
        <v>159</v>
      </c>
      <c r="Z16" s="23">
        <v>65.853399999999993</v>
      </c>
      <c r="AA16" s="8">
        <f t="shared" si="7"/>
        <v>0</v>
      </c>
      <c r="AB16" s="23">
        <v>3034.85</v>
      </c>
      <c r="AC16" s="23">
        <v>0</v>
      </c>
      <c r="AD16" s="23">
        <v>18637</v>
      </c>
      <c r="AE16" s="8">
        <f t="shared" si="8"/>
        <v>0</v>
      </c>
      <c r="AF16" s="23">
        <v>1257.5</v>
      </c>
      <c r="AG16" s="23">
        <v>0</v>
      </c>
      <c r="AH16" s="14">
        <f t="shared" si="9"/>
        <v>159</v>
      </c>
      <c r="AI16" s="15">
        <f t="shared" si="10"/>
        <v>59.199999999999591</v>
      </c>
      <c r="AJ16" s="16">
        <f t="shared" si="11"/>
        <v>99.800000000000409</v>
      </c>
      <c r="AK16" s="17">
        <f t="shared" si="12"/>
        <v>245.78999999998996</v>
      </c>
      <c r="AL16" s="18">
        <f t="shared" si="13"/>
        <v>345.58999999999037</v>
      </c>
    </row>
    <row r="17" spans="1:38" ht="25.5" customHeight="1">
      <c r="A17" s="23" t="s">
        <v>152</v>
      </c>
      <c r="B17" s="35">
        <v>11.282</v>
      </c>
      <c r="C17" s="35">
        <v>76</v>
      </c>
      <c r="D17" s="23">
        <v>805.67</v>
      </c>
      <c r="E17" s="23">
        <v>226.32</v>
      </c>
      <c r="F17" s="23">
        <v>0.71899999999999997</v>
      </c>
      <c r="G17" s="23">
        <v>0.57899999999999996</v>
      </c>
      <c r="H17" s="23">
        <v>40</v>
      </c>
      <c r="I17" s="5">
        <f t="shared" si="0"/>
        <v>58.000000000000682</v>
      </c>
      <c r="J17" s="6">
        <f t="shared" si="1"/>
        <v>252.40000000000236</v>
      </c>
      <c r="K17" s="23">
        <v>77050.649999999994</v>
      </c>
      <c r="L17" s="23">
        <v>0.98699999999999999</v>
      </c>
      <c r="M17" s="7">
        <f t="shared" si="2"/>
        <v>5</v>
      </c>
      <c r="N17" s="23">
        <v>78</v>
      </c>
      <c r="O17" s="8">
        <f t="shared" si="3"/>
        <v>0</v>
      </c>
      <c r="P17" s="23">
        <v>514</v>
      </c>
      <c r="Q17" s="23">
        <v>0</v>
      </c>
      <c r="R17" s="23">
        <v>127595.51</v>
      </c>
      <c r="S17" s="23">
        <v>0.91800000000000004</v>
      </c>
      <c r="T17" s="9">
        <f t="shared" si="4"/>
        <v>0</v>
      </c>
      <c r="U17" s="10">
        <f t="shared" si="5"/>
        <v>257.40000000000236</v>
      </c>
      <c r="V17" s="35">
        <v>82</v>
      </c>
      <c r="W17" s="35">
        <v>99</v>
      </c>
      <c r="X17" s="35">
        <v>89</v>
      </c>
      <c r="Y17" s="11">
        <f t="shared" si="6"/>
        <v>270</v>
      </c>
      <c r="Z17" s="23">
        <v>65.853399999999993</v>
      </c>
      <c r="AA17" s="8">
        <f t="shared" si="7"/>
        <v>0</v>
      </c>
      <c r="AB17" s="23">
        <v>3033.88</v>
      </c>
      <c r="AC17" s="23">
        <v>0</v>
      </c>
      <c r="AD17" s="23">
        <v>18637</v>
      </c>
      <c r="AE17" s="8">
        <f t="shared" si="8"/>
        <v>7</v>
      </c>
      <c r="AF17" s="23">
        <v>1257.5</v>
      </c>
      <c r="AG17" s="23">
        <v>0</v>
      </c>
      <c r="AH17" s="14">
        <f t="shared" si="9"/>
        <v>270</v>
      </c>
      <c r="AI17" s="15">
        <f t="shared" si="10"/>
        <v>58.000000000000682</v>
      </c>
      <c r="AJ17" s="16">
        <f t="shared" si="11"/>
        <v>211.99999999999932</v>
      </c>
      <c r="AK17" s="17">
        <f t="shared" si="12"/>
        <v>264.40000000000236</v>
      </c>
      <c r="AL17" s="18">
        <f t="shared" si="13"/>
        <v>476.40000000000168</v>
      </c>
    </row>
    <row r="18" spans="1:38" ht="25.5" customHeight="1">
      <c r="A18" s="23" t="s">
        <v>153</v>
      </c>
      <c r="B18" s="23">
        <v>11.401999999999999</v>
      </c>
      <c r="C18" s="23">
        <v>120.2</v>
      </c>
      <c r="D18" s="23">
        <v>811.98</v>
      </c>
      <c r="E18" s="23">
        <v>227.77</v>
      </c>
      <c r="F18" s="23">
        <v>0.71899999999999997</v>
      </c>
      <c r="G18" s="23">
        <v>0.57399999999999995</v>
      </c>
      <c r="H18" s="23">
        <v>40</v>
      </c>
      <c r="I18" s="5">
        <f t="shared" si="0"/>
        <v>75.199999999999818</v>
      </c>
      <c r="J18" s="6">
        <f t="shared" si="1"/>
        <v>200.39999999999964</v>
      </c>
      <c r="K18" s="23">
        <v>77055.649999999994</v>
      </c>
      <c r="L18" s="23">
        <v>0.98699999999999999</v>
      </c>
      <c r="M18" s="7">
        <f t="shared" si="2"/>
        <v>5.7700000000040745</v>
      </c>
      <c r="N18" s="23">
        <v>78</v>
      </c>
      <c r="O18" s="8">
        <f t="shared" si="3"/>
        <v>0</v>
      </c>
      <c r="P18" s="23">
        <v>514</v>
      </c>
      <c r="Q18" s="23">
        <v>0</v>
      </c>
      <c r="R18" s="23">
        <v>127595.51</v>
      </c>
      <c r="S18" s="23">
        <v>0.91800000000000004</v>
      </c>
      <c r="T18" s="9">
        <f t="shared" si="4"/>
        <v>0</v>
      </c>
      <c r="U18" s="10">
        <f t="shared" si="5"/>
        <v>206.17000000000371</v>
      </c>
      <c r="V18" s="35">
        <v>80</v>
      </c>
      <c r="W18" s="35">
        <v>95</v>
      </c>
      <c r="X18" s="35">
        <v>84</v>
      </c>
      <c r="Y18" s="11">
        <f t="shared" si="6"/>
        <v>259</v>
      </c>
      <c r="Z18" s="23">
        <v>65.853399999999993</v>
      </c>
      <c r="AA18" s="8">
        <f t="shared" si="7"/>
        <v>0</v>
      </c>
      <c r="AB18" s="23">
        <v>3033.9</v>
      </c>
      <c r="AC18" s="23">
        <v>0</v>
      </c>
      <c r="AD18" s="23">
        <v>18644</v>
      </c>
      <c r="AE18" s="8">
        <f t="shared" si="8"/>
        <v>0</v>
      </c>
      <c r="AF18" s="23">
        <v>1258.0999999999999</v>
      </c>
      <c r="AG18" s="23">
        <v>0</v>
      </c>
      <c r="AH18" s="14">
        <f t="shared" si="9"/>
        <v>259</v>
      </c>
      <c r="AI18" s="15">
        <f t="shared" si="10"/>
        <v>75.199999999999818</v>
      </c>
      <c r="AJ18" s="16">
        <f t="shared" si="11"/>
        <v>183.80000000000018</v>
      </c>
      <c r="AK18" s="17">
        <f t="shared" si="12"/>
        <v>206.17000000000371</v>
      </c>
      <c r="AL18" s="18">
        <f t="shared" si="13"/>
        <v>389.97000000000389</v>
      </c>
    </row>
    <row r="19" spans="1:38" ht="25.5" customHeight="1">
      <c r="A19" s="23" t="s">
        <v>154</v>
      </c>
      <c r="B19" s="23">
        <v>11.512</v>
      </c>
      <c r="C19" s="23">
        <v>110.1</v>
      </c>
      <c r="D19" s="23">
        <v>816.99</v>
      </c>
      <c r="E19" s="23">
        <v>229.65</v>
      </c>
      <c r="F19" s="23">
        <v>0.71599999999999997</v>
      </c>
      <c r="G19" s="23">
        <v>0.57499999999999996</v>
      </c>
      <c r="H19" s="23">
        <v>40</v>
      </c>
      <c r="I19" s="5">
        <f t="shared" si="0"/>
        <v>337.20000000000027</v>
      </c>
      <c r="J19" s="6">
        <f t="shared" si="1"/>
        <v>250</v>
      </c>
      <c r="K19" s="23">
        <v>77061.42</v>
      </c>
      <c r="L19" s="23">
        <v>0.98699999999999999</v>
      </c>
      <c r="M19" s="7">
        <f t="shared" si="2"/>
        <v>6</v>
      </c>
      <c r="N19" s="23">
        <v>78</v>
      </c>
      <c r="O19" s="8">
        <f t="shared" si="3"/>
        <v>0</v>
      </c>
      <c r="P19" s="23">
        <v>514</v>
      </c>
      <c r="Q19" s="23">
        <v>0</v>
      </c>
      <c r="R19" s="23">
        <v>127595.51</v>
      </c>
      <c r="S19" s="23">
        <v>0.91800000000000004</v>
      </c>
      <c r="T19" s="9">
        <f t="shared" si="4"/>
        <v>0</v>
      </c>
      <c r="U19" s="10">
        <f t="shared" si="5"/>
        <v>256</v>
      </c>
      <c r="V19" s="35">
        <v>115</v>
      </c>
      <c r="W19" s="35">
        <v>120</v>
      </c>
      <c r="X19" s="35">
        <v>120</v>
      </c>
      <c r="Y19" s="11">
        <f t="shared" si="6"/>
        <v>355</v>
      </c>
      <c r="Z19" s="23">
        <v>65.853399999999993</v>
      </c>
      <c r="AA19" s="8">
        <f t="shared" si="7"/>
        <v>0</v>
      </c>
      <c r="AB19" s="23">
        <v>3033.91</v>
      </c>
      <c r="AC19" s="23">
        <v>0</v>
      </c>
      <c r="AD19" s="23">
        <v>18644</v>
      </c>
      <c r="AE19" s="8">
        <f t="shared" si="8"/>
        <v>10</v>
      </c>
      <c r="AF19" s="23">
        <v>1258.0999999999999</v>
      </c>
      <c r="AG19" s="23">
        <v>0</v>
      </c>
      <c r="AH19" s="14">
        <f t="shared" si="9"/>
        <v>355</v>
      </c>
      <c r="AI19" s="15">
        <f t="shared" si="10"/>
        <v>337.20000000000027</v>
      </c>
      <c r="AJ19" s="16">
        <f t="shared" si="11"/>
        <v>17.799999999999727</v>
      </c>
      <c r="AK19" s="17">
        <f t="shared" si="12"/>
        <v>266</v>
      </c>
      <c r="AL19" s="18">
        <f t="shared" si="13"/>
        <v>283.79999999999973</v>
      </c>
    </row>
    <row r="20" spans="1:38" ht="25.5" customHeight="1">
      <c r="A20" s="23" t="s">
        <v>155</v>
      </c>
      <c r="B20" s="23">
        <v>11.6379</v>
      </c>
      <c r="C20" s="23">
        <v>125.6</v>
      </c>
      <c r="D20" s="23">
        <v>823.24</v>
      </c>
      <c r="E20" s="23">
        <v>238.08</v>
      </c>
      <c r="F20" s="23">
        <v>0.71599999999999997</v>
      </c>
      <c r="G20" s="23">
        <v>0.61299999999999999</v>
      </c>
      <c r="H20" s="23">
        <v>40</v>
      </c>
      <c r="I20" s="5">
        <f t="shared" si="0"/>
        <v>48.399999999999181</v>
      </c>
      <c r="J20" s="6">
        <f t="shared" si="1"/>
        <v>182.79999999999745</v>
      </c>
      <c r="K20" s="23">
        <v>77067.42</v>
      </c>
      <c r="L20" s="23">
        <v>0.98699999999999999</v>
      </c>
      <c r="M20" s="7">
        <f t="shared" si="2"/>
        <v>7.1600000000034925</v>
      </c>
      <c r="N20" s="23">
        <v>78</v>
      </c>
      <c r="O20" s="8">
        <f t="shared" si="3"/>
        <v>0</v>
      </c>
      <c r="P20" s="23">
        <v>514</v>
      </c>
      <c r="Q20" s="23">
        <v>0</v>
      </c>
      <c r="R20" s="23">
        <v>127595.51</v>
      </c>
      <c r="S20" s="23">
        <v>0.91800000000000004</v>
      </c>
      <c r="T20" s="9">
        <f t="shared" si="4"/>
        <v>0</v>
      </c>
      <c r="U20" s="10">
        <f t="shared" si="5"/>
        <v>189.96000000000095</v>
      </c>
      <c r="V20" s="35">
        <v>84</v>
      </c>
      <c r="W20" s="35">
        <v>113</v>
      </c>
      <c r="X20" s="35">
        <v>97</v>
      </c>
      <c r="Y20" s="11">
        <f t="shared" si="6"/>
        <v>294</v>
      </c>
      <c r="Z20" s="23">
        <v>65.853399999999993</v>
      </c>
      <c r="AA20" s="8">
        <f t="shared" si="7"/>
        <v>0</v>
      </c>
      <c r="AB20" s="23">
        <v>3033.93</v>
      </c>
      <c r="AC20" s="23">
        <v>0</v>
      </c>
      <c r="AD20" s="23">
        <v>18654</v>
      </c>
      <c r="AE20" s="8">
        <f t="shared" si="8"/>
        <v>0</v>
      </c>
      <c r="AF20" s="23">
        <v>1259</v>
      </c>
      <c r="AG20" s="23">
        <v>50</v>
      </c>
      <c r="AH20" s="14">
        <f t="shared" si="9"/>
        <v>294</v>
      </c>
      <c r="AI20" s="15">
        <f t="shared" si="10"/>
        <v>48.399999999999181</v>
      </c>
      <c r="AJ20" s="16">
        <f t="shared" si="11"/>
        <v>245.60000000000082</v>
      </c>
      <c r="AK20" s="17">
        <f t="shared" si="12"/>
        <v>189.96000000000095</v>
      </c>
      <c r="AL20" s="18">
        <f t="shared" si="13"/>
        <v>435.56000000000176</v>
      </c>
    </row>
    <row r="21" spans="1:38" ht="25.5" customHeight="1">
      <c r="A21" s="23" t="s">
        <v>156</v>
      </c>
      <c r="B21" s="23">
        <v>11.7403</v>
      </c>
      <c r="C21" s="23">
        <v>102.4</v>
      </c>
      <c r="D21" s="23">
        <v>827.81</v>
      </c>
      <c r="E21" s="23">
        <v>239.29</v>
      </c>
      <c r="F21" s="23">
        <v>0.71399999999999997</v>
      </c>
      <c r="G21" s="23">
        <v>0.61099999999999999</v>
      </c>
      <c r="H21" s="23">
        <v>40</v>
      </c>
      <c r="I21" s="5">
        <f t="shared" si="0"/>
        <v>35.199999999999818</v>
      </c>
      <c r="J21" s="6">
        <f t="shared" si="1"/>
        <v>214.00000000000091</v>
      </c>
      <c r="K21" s="23">
        <v>77074.58</v>
      </c>
      <c r="L21" s="23">
        <v>0.98699999999999999</v>
      </c>
      <c r="M21" s="7">
        <f t="shared" si="2"/>
        <v>6.0800000000017462</v>
      </c>
      <c r="N21" s="23">
        <v>78</v>
      </c>
      <c r="O21" s="8">
        <f t="shared" si="3"/>
        <v>0</v>
      </c>
      <c r="P21" s="23">
        <v>514</v>
      </c>
      <c r="Q21" s="23">
        <v>0</v>
      </c>
      <c r="R21" s="23">
        <v>127595.51</v>
      </c>
      <c r="S21" s="23">
        <v>0.91800000000000004</v>
      </c>
      <c r="T21" s="9">
        <f t="shared" si="4"/>
        <v>0</v>
      </c>
      <c r="U21" s="10">
        <f t="shared" si="5"/>
        <v>220.08000000000266</v>
      </c>
      <c r="V21" s="35">
        <v>67</v>
      </c>
      <c r="W21" s="35">
        <v>69</v>
      </c>
      <c r="X21" s="35">
        <v>60</v>
      </c>
      <c r="Y21" s="11">
        <f t="shared" si="6"/>
        <v>196</v>
      </c>
      <c r="Z21" s="23">
        <v>65.853399999999993</v>
      </c>
      <c r="AA21" s="8">
        <f t="shared" si="7"/>
        <v>0</v>
      </c>
      <c r="AB21" s="23">
        <v>3033.95</v>
      </c>
      <c r="AC21" s="23">
        <v>0</v>
      </c>
      <c r="AD21" s="23">
        <v>18654</v>
      </c>
      <c r="AE21" s="8">
        <f t="shared" si="8"/>
        <v>0</v>
      </c>
      <c r="AF21" s="23">
        <v>1259</v>
      </c>
      <c r="AG21" s="23">
        <v>0</v>
      </c>
      <c r="AH21" s="14">
        <f t="shared" si="9"/>
        <v>196</v>
      </c>
      <c r="AI21" s="15">
        <f t="shared" si="10"/>
        <v>35.199999999999818</v>
      </c>
      <c r="AJ21" s="16">
        <f t="shared" si="11"/>
        <v>160.80000000000018</v>
      </c>
      <c r="AK21" s="17">
        <f t="shared" si="12"/>
        <v>220.08000000000266</v>
      </c>
      <c r="AL21" s="18">
        <f t="shared" si="13"/>
        <v>380.88000000000284</v>
      </c>
    </row>
    <row r="22" spans="1:38" ht="25.5" customHeight="1">
      <c r="A22" s="23" t="s">
        <v>157</v>
      </c>
      <c r="B22" s="23">
        <v>11.815</v>
      </c>
      <c r="C22" s="23">
        <v>75.099999999999994</v>
      </c>
      <c r="D22" s="23">
        <v>833.16</v>
      </c>
      <c r="E22" s="23">
        <v>240.17</v>
      </c>
      <c r="F22" s="23">
        <v>0.71199999999999997</v>
      </c>
      <c r="G22" s="23">
        <v>0.59599999999999997</v>
      </c>
      <c r="H22" s="23">
        <v>40</v>
      </c>
      <c r="I22" s="5">
        <f t="shared" si="0"/>
        <v>2.4000000000000909</v>
      </c>
      <c r="J22" s="6">
        <f t="shared" si="1"/>
        <v>225.19999999999982</v>
      </c>
      <c r="K22" s="23">
        <v>77080.66</v>
      </c>
      <c r="L22" s="23">
        <v>0.98699999999999999</v>
      </c>
      <c r="M22" s="7">
        <f t="shared" si="2"/>
        <v>6</v>
      </c>
      <c r="N22" s="23">
        <v>78</v>
      </c>
      <c r="O22" s="8">
        <f t="shared" si="3"/>
        <v>0</v>
      </c>
      <c r="P22" s="23">
        <v>514</v>
      </c>
      <c r="Q22" s="23">
        <v>0</v>
      </c>
      <c r="R22" s="23">
        <v>127595.51</v>
      </c>
      <c r="S22" s="23">
        <v>0.91800000000000004</v>
      </c>
      <c r="T22" s="9">
        <f t="shared" si="4"/>
        <v>0</v>
      </c>
      <c r="U22" s="10">
        <f t="shared" si="5"/>
        <v>231.19999999999982</v>
      </c>
      <c r="V22" s="35">
        <v>40</v>
      </c>
      <c r="W22" s="35">
        <v>41</v>
      </c>
      <c r="X22" s="35">
        <v>34</v>
      </c>
      <c r="Y22" s="11">
        <f t="shared" si="6"/>
        <v>115</v>
      </c>
      <c r="Z22" s="23">
        <v>65.853399999999993</v>
      </c>
      <c r="AA22" s="8">
        <f t="shared" si="7"/>
        <v>0</v>
      </c>
      <c r="AB22" s="23">
        <v>3033.95</v>
      </c>
      <c r="AC22" s="23">
        <v>0</v>
      </c>
      <c r="AD22" s="23">
        <v>18654</v>
      </c>
      <c r="AE22" s="8">
        <f t="shared" si="8"/>
        <v>30</v>
      </c>
      <c r="AF22" s="23">
        <v>1259</v>
      </c>
      <c r="AG22" s="23">
        <v>0</v>
      </c>
      <c r="AH22" s="14">
        <f t="shared" si="9"/>
        <v>115</v>
      </c>
      <c r="AI22" s="15">
        <f t="shared" si="10"/>
        <v>2.4000000000000909</v>
      </c>
      <c r="AJ22" s="16">
        <f t="shared" si="11"/>
        <v>112.59999999999991</v>
      </c>
      <c r="AK22" s="17">
        <f t="shared" si="12"/>
        <v>261.19999999999982</v>
      </c>
      <c r="AL22" s="18">
        <f t="shared" si="13"/>
        <v>373.79999999999973</v>
      </c>
    </row>
    <row r="23" spans="1:38" ht="25.5" customHeight="1">
      <c r="A23" s="23" t="s">
        <v>158</v>
      </c>
      <c r="B23" s="23">
        <v>11.888</v>
      </c>
      <c r="C23" s="23">
        <v>72.099999999999994</v>
      </c>
      <c r="D23" s="23">
        <v>838.79</v>
      </c>
      <c r="E23" s="23">
        <v>240.23</v>
      </c>
      <c r="F23" s="23">
        <v>0.71199999999999997</v>
      </c>
      <c r="G23" s="23">
        <v>0.59399999999999997</v>
      </c>
      <c r="H23" s="23">
        <v>40</v>
      </c>
      <c r="I23" s="5">
        <f t="shared" si="0"/>
        <v>3.2000000000005002</v>
      </c>
      <c r="J23" s="6">
        <f t="shared" si="1"/>
        <v>208.40000000000146</v>
      </c>
      <c r="K23" s="23">
        <v>77086.66</v>
      </c>
      <c r="L23" s="23">
        <v>0.98699999999999999</v>
      </c>
      <c r="M23" s="7">
        <f t="shared" si="2"/>
        <v>5.1799999999930151</v>
      </c>
      <c r="N23" s="23">
        <v>78</v>
      </c>
      <c r="O23" s="8">
        <f t="shared" si="3"/>
        <v>0</v>
      </c>
      <c r="P23" s="23">
        <v>514</v>
      </c>
      <c r="Q23" s="23">
        <v>0</v>
      </c>
      <c r="R23" s="23">
        <v>127595.51</v>
      </c>
      <c r="S23" s="23">
        <v>0.91800000000000004</v>
      </c>
      <c r="T23" s="9">
        <f t="shared" si="4"/>
        <v>0</v>
      </c>
      <c r="U23" s="10">
        <f t="shared" si="5"/>
        <v>213.57999999999447</v>
      </c>
      <c r="V23" s="35">
        <v>31</v>
      </c>
      <c r="W23" s="35">
        <v>31</v>
      </c>
      <c r="X23" s="35">
        <v>27</v>
      </c>
      <c r="Y23" s="11">
        <f t="shared" si="6"/>
        <v>89</v>
      </c>
      <c r="Z23" s="23">
        <v>65.853399999999993</v>
      </c>
      <c r="AA23" s="8">
        <f t="shared" si="7"/>
        <v>0</v>
      </c>
      <c r="AB23" s="23">
        <v>3033.98</v>
      </c>
      <c r="AC23" s="23">
        <v>0</v>
      </c>
      <c r="AD23" s="23">
        <v>18684</v>
      </c>
      <c r="AE23" s="8">
        <f t="shared" si="8"/>
        <v>0</v>
      </c>
      <c r="AF23" s="23">
        <v>1263.5</v>
      </c>
      <c r="AG23" s="23">
        <v>0</v>
      </c>
      <c r="AH23" s="14">
        <f t="shared" si="9"/>
        <v>89</v>
      </c>
      <c r="AI23" s="15">
        <f t="shared" si="10"/>
        <v>3.2000000000005002</v>
      </c>
      <c r="AJ23" s="16">
        <f t="shared" si="11"/>
        <v>85.7999999999995</v>
      </c>
      <c r="AK23" s="17">
        <f t="shared" si="12"/>
        <v>213.57999999999447</v>
      </c>
      <c r="AL23" s="18">
        <f t="shared" si="13"/>
        <v>299.37999999999397</v>
      </c>
    </row>
    <row r="24" spans="1:38" ht="25.5" customHeight="1">
      <c r="A24" s="23" t="s">
        <v>159</v>
      </c>
      <c r="B24" s="23">
        <v>11.952</v>
      </c>
      <c r="C24" s="23">
        <v>64.2</v>
      </c>
      <c r="D24" s="23">
        <v>844</v>
      </c>
      <c r="E24" s="23">
        <v>240.31</v>
      </c>
      <c r="F24" s="23">
        <v>0.71099999999999997</v>
      </c>
      <c r="G24" s="23">
        <v>0.54300000000000004</v>
      </c>
      <c r="H24" s="23">
        <v>40</v>
      </c>
      <c r="I24" s="5">
        <f t="shared" si="0"/>
        <v>83.199999999999363</v>
      </c>
      <c r="J24" s="6">
        <f t="shared" si="1"/>
        <v>199.60000000000036</v>
      </c>
      <c r="K24" s="23">
        <v>77091.839999999997</v>
      </c>
      <c r="L24" s="23">
        <v>0.98399999999999999</v>
      </c>
      <c r="M24" s="7">
        <f t="shared" si="2"/>
        <v>4.5800000000017462</v>
      </c>
      <c r="N24" s="23">
        <v>78</v>
      </c>
      <c r="O24" s="8">
        <f t="shared" si="3"/>
        <v>0</v>
      </c>
      <c r="P24" s="23">
        <v>514</v>
      </c>
      <c r="Q24" s="23">
        <v>0</v>
      </c>
      <c r="R24" s="23">
        <v>127595.51</v>
      </c>
      <c r="S24" s="23">
        <v>0.91800000000000004</v>
      </c>
      <c r="T24" s="9">
        <f t="shared" si="4"/>
        <v>0</v>
      </c>
      <c r="U24" s="10">
        <f t="shared" si="5"/>
        <v>204.18000000000211</v>
      </c>
      <c r="V24" s="35">
        <v>82.61</v>
      </c>
      <c r="W24" s="35">
        <v>78.099999999999994</v>
      </c>
      <c r="X24" s="35">
        <v>66.34</v>
      </c>
      <c r="Y24" s="11">
        <f t="shared" si="6"/>
        <v>227.04999999999998</v>
      </c>
      <c r="Z24" s="23">
        <v>65.853399999999993</v>
      </c>
      <c r="AA24" s="8">
        <f t="shared" si="7"/>
        <v>0</v>
      </c>
      <c r="AB24" s="23">
        <v>3033.98</v>
      </c>
      <c r="AC24" s="23">
        <v>0</v>
      </c>
      <c r="AD24" s="23">
        <v>18684</v>
      </c>
      <c r="AE24" s="8">
        <f t="shared" si="8"/>
        <v>1</v>
      </c>
      <c r="AF24" s="23">
        <v>1263.5</v>
      </c>
      <c r="AG24" s="23">
        <v>0</v>
      </c>
      <c r="AH24" s="14">
        <f t="shared" si="9"/>
        <v>227.04999999999998</v>
      </c>
      <c r="AI24" s="15">
        <f t="shared" si="10"/>
        <v>83.199999999999363</v>
      </c>
      <c r="AJ24" s="16">
        <f t="shared" si="11"/>
        <v>143.85000000000062</v>
      </c>
      <c r="AK24" s="17">
        <f t="shared" si="12"/>
        <v>205.18000000000211</v>
      </c>
      <c r="AL24" s="18">
        <f t="shared" si="13"/>
        <v>349.0300000000027</v>
      </c>
    </row>
    <row r="25" spans="1:38" ht="25.5" customHeight="1">
      <c r="A25" s="23" t="s">
        <v>160</v>
      </c>
      <c r="B25" s="23">
        <v>12.016</v>
      </c>
      <c r="C25" s="23">
        <v>64.5</v>
      </c>
      <c r="D25" s="23">
        <v>848.99</v>
      </c>
      <c r="E25" s="23">
        <v>242.39</v>
      </c>
      <c r="F25" s="23">
        <v>0.70899999999999996</v>
      </c>
      <c r="G25" s="23">
        <v>0.59099999999999997</v>
      </c>
      <c r="H25" s="23">
        <v>40</v>
      </c>
      <c r="I25" s="5">
        <f t="shared" si="0"/>
        <v>124.00000000000091</v>
      </c>
      <c r="J25" s="6">
        <f t="shared" si="1"/>
        <v>361.99999999999818</v>
      </c>
      <c r="K25" s="23">
        <v>77096.42</v>
      </c>
      <c r="L25" s="23">
        <v>0.98399999999999999</v>
      </c>
      <c r="M25" s="7">
        <f t="shared" si="2"/>
        <v>20.430000000007567</v>
      </c>
      <c r="N25" s="23">
        <v>78</v>
      </c>
      <c r="O25" s="8">
        <f t="shared" si="3"/>
        <v>0</v>
      </c>
      <c r="P25" s="23">
        <v>514</v>
      </c>
      <c r="Q25" s="23">
        <v>0</v>
      </c>
      <c r="R25" s="23">
        <v>127595.51</v>
      </c>
      <c r="S25" s="23">
        <v>0.91800000000000004</v>
      </c>
      <c r="T25" s="9">
        <f t="shared" si="4"/>
        <v>0</v>
      </c>
      <c r="U25" s="10">
        <f t="shared" si="5"/>
        <v>382.43000000000575</v>
      </c>
      <c r="V25" s="35">
        <v>46</v>
      </c>
      <c r="W25" s="35">
        <v>50</v>
      </c>
      <c r="X25" s="35">
        <v>49</v>
      </c>
      <c r="Y25" s="11">
        <f t="shared" si="6"/>
        <v>145</v>
      </c>
      <c r="Z25" s="23">
        <v>65.853399999999993</v>
      </c>
      <c r="AA25" s="8">
        <f t="shared" si="7"/>
        <v>0</v>
      </c>
      <c r="AB25" s="23">
        <v>3034.09</v>
      </c>
      <c r="AC25" s="23">
        <v>0</v>
      </c>
      <c r="AD25" s="23">
        <v>18685</v>
      </c>
      <c r="AE25" s="8"/>
      <c r="AF25" s="23">
        <v>1263.5</v>
      </c>
      <c r="AG25" s="23">
        <v>0</v>
      </c>
      <c r="AH25" s="14">
        <f t="shared" si="9"/>
        <v>145</v>
      </c>
      <c r="AI25" s="15">
        <f t="shared" si="10"/>
        <v>124.00000000000091</v>
      </c>
      <c r="AJ25" s="16">
        <f t="shared" si="11"/>
        <v>20.999999999999091</v>
      </c>
      <c r="AK25" s="17">
        <f t="shared" si="12"/>
        <v>382.43000000000575</v>
      </c>
      <c r="AL25" s="18">
        <f t="shared" si="13"/>
        <v>403.43000000000484</v>
      </c>
    </row>
    <row r="26" spans="1:38" ht="25.5" customHeight="1">
      <c r="A26" s="23" t="s">
        <v>161</v>
      </c>
      <c r="B26" s="23">
        <v>12.125</v>
      </c>
      <c r="C26" s="23">
        <v>108.1</v>
      </c>
      <c r="D26" s="23">
        <v>858.04</v>
      </c>
      <c r="E26" s="23">
        <v>245.49</v>
      </c>
      <c r="F26" s="23">
        <v>0.70799999999999996</v>
      </c>
      <c r="G26" s="23">
        <v>0.59</v>
      </c>
      <c r="H26" s="23">
        <v>40</v>
      </c>
      <c r="I26" s="5"/>
      <c r="J26" s="6"/>
      <c r="K26" s="23">
        <v>77116.850000000006</v>
      </c>
      <c r="L26" s="23">
        <v>0.98399999999999999</v>
      </c>
      <c r="M26" s="7"/>
      <c r="N26" s="23">
        <v>78</v>
      </c>
      <c r="O26" s="29"/>
      <c r="P26" s="23">
        <v>514</v>
      </c>
      <c r="Q26" s="23">
        <v>0</v>
      </c>
      <c r="R26" s="23">
        <v>127595.51</v>
      </c>
      <c r="S26" s="23">
        <v>0.91800000000000004</v>
      </c>
      <c r="T26" s="9"/>
      <c r="U26" s="10"/>
      <c r="V26" s="2"/>
      <c r="W26" s="2"/>
      <c r="X26" s="2"/>
      <c r="Y26" s="11"/>
      <c r="Z26" s="23">
        <v>65.853399999999993</v>
      </c>
      <c r="AA26" s="29"/>
      <c r="AB26" s="23">
        <v>3034.12</v>
      </c>
      <c r="AC26" s="23">
        <v>0</v>
      </c>
      <c r="AD26" s="23">
        <v>18687</v>
      </c>
      <c r="AE26" s="8"/>
      <c r="AF26" s="23">
        <v>1263.9000000000001</v>
      </c>
      <c r="AG26" s="23">
        <v>0</v>
      </c>
      <c r="AH26" s="36"/>
      <c r="AI26" s="21"/>
      <c r="AJ26" s="22"/>
      <c r="AK26" s="17"/>
      <c r="AL26" s="30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3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39" t="s">
        <v>162</v>
      </c>
      <c r="B3" s="23">
        <v>3636.99</v>
      </c>
      <c r="C3" s="23">
        <v>140.69999999999999</v>
      </c>
      <c r="D3" s="23">
        <v>2593.61</v>
      </c>
      <c r="E3" s="23">
        <v>478.33</v>
      </c>
      <c r="F3" s="23">
        <v>0.83</v>
      </c>
      <c r="G3" s="23">
        <v>0.59799999999999998</v>
      </c>
      <c r="H3" s="23">
        <v>40</v>
      </c>
      <c r="I3" s="5">
        <f t="shared" ref="I3:I29" si="0">(E4-E3)*40</f>
        <v>13.200000000001637</v>
      </c>
      <c r="J3" s="6">
        <f t="shared" ref="J3:J29" si="1">(D4-D3)*40</f>
        <v>442.79999999998836</v>
      </c>
      <c r="K3" s="23">
        <v>191467.65</v>
      </c>
      <c r="L3" s="23">
        <v>0.99399999999999999</v>
      </c>
      <c r="M3" s="7">
        <f t="shared" ref="M3:M29" si="2">(K4-K3)</f>
        <v>83.25</v>
      </c>
      <c r="N3" s="23">
        <v>93</v>
      </c>
      <c r="O3" s="8">
        <f t="shared" ref="O3:O29" si="3">(N4-N3)</f>
        <v>0</v>
      </c>
      <c r="P3" s="23">
        <v>588.20000000000005</v>
      </c>
      <c r="Q3" s="23">
        <v>95</v>
      </c>
      <c r="R3" s="23">
        <v>130184.16</v>
      </c>
      <c r="S3" s="23">
        <v>0.91700000000000004</v>
      </c>
      <c r="T3" s="9">
        <f t="shared" ref="T3:T29" si="4">(R4-R3)</f>
        <v>0</v>
      </c>
      <c r="U3" s="10">
        <f t="shared" ref="U3:U29" si="5">(J3+M3+O3+T3)</f>
        <v>526.04999999998836</v>
      </c>
      <c r="V3" s="35">
        <v>27</v>
      </c>
      <c r="W3" s="35">
        <v>30</v>
      </c>
      <c r="X3" s="35">
        <v>31</v>
      </c>
      <c r="Y3" s="11">
        <f t="shared" ref="Y3:Y29" si="6">SUM(V3:X3)</f>
        <v>88</v>
      </c>
      <c r="Z3" s="23">
        <v>677791</v>
      </c>
      <c r="AA3" s="8">
        <f t="shared" ref="AA3:AA29" si="7">(Z4-Z3)</f>
        <v>0</v>
      </c>
      <c r="AB3" s="23">
        <v>3085.85</v>
      </c>
      <c r="AC3" s="23">
        <v>82</v>
      </c>
      <c r="AD3" s="23">
        <v>19750</v>
      </c>
      <c r="AE3" s="8">
        <f t="shared" ref="AE3:AE29" si="8">(AD4-AD3)</f>
        <v>1</v>
      </c>
      <c r="AF3" s="23">
        <v>1393.8</v>
      </c>
      <c r="AG3" s="23">
        <v>65</v>
      </c>
      <c r="AH3" s="36">
        <f t="shared" ref="AH3:AH30" si="9">Y3</f>
        <v>88</v>
      </c>
      <c r="AI3" s="21">
        <f t="shared" ref="AI3:AI29" si="10">I3</f>
        <v>13.200000000001637</v>
      </c>
      <c r="AJ3" s="22">
        <f t="shared" ref="AJ3:AJ29" si="11">(AH3-AI3)</f>
        <v>74.799999999998363</v>
      </c>
      <c r="AK3" s="17">
        <f t="shared" ref="AK3:AK29" si="12">(U3+AA3+AE3)</f>
        <v>527.04999999998836</v>
      </c>
      <c r="AL3" s="30">
        <f t="shared" ref="AL3:AL29" si="13">(AJ3+AK3)</f>
        <v>601.84999999998672</v>
      </c>
    </row>
    <row r="4" spans="1:38" ht="25.5" customHeight="1">
      <c r="A4" s="39" t="s">
        <v>163</v>
      </c>
      <c r="B4" s="35">
        <v>3650.8</v>
      </c>
      <c r="C4" s="35">
        <v>138.1</v>
      </c>
      <c r="D4" s="23">
        <v>2604.6799999999998</v>
      </c>
      <c r="E4" s="23">
        <v>478.66</v>
      </c>
      <c r="F4" s="23">
        <v>0.83499999999999996</v>
      </c>
      <c r="G4" s="23">
        <v>0.48299999999999998</v>
      </c>
      <c r="H4" s="23">
        <v>40</v>
      </c>
      <c r="I4" s="5">
        <f t="shared" si="0"/>
        <v>19.59999999999809</v>
      </c>
      <c r="J4" s="6">
        <f t="shared" si="1"/>
        <v>453.20000000001528</v>
      </c>
      <c r="K4" s="23">
        <v>191550.9</v>
      </c>
      <c r="L4" s="23">
        <v>0.99399999999999999</v>
      </c>
      <c r="M4" s="7">
        <f t="shared" si="2"/>
        <v>85.75</v>
      </c>
      <c r="N4" s="35">
        <v>93</v>
      </c>
      <c r="O4" s="8">
        <f t="shared" si="3"/>
        <v>0</v>
      </c>
      <c r="P4" s="23">
        <v>588.29999999999995</v>
      </c>
      <c r="Q4" s="23">
        <v>95</v>
      </c>
      <c r="R4" s="23">
        <v>130184.16</v>
      </c>
      <c r="S4" s="23">
        <v>0.91700000000000004</v>
      </c>
      <c r="T4" s="9">
        <f t="shared" si="4"/>
        <v>0</v>
      </c>
      <c r="U4" s="10">
        <f t="shared" si="5"/>
        <v>538.95000000001528</v>
      </c>
      <c r="V4" s="35">
        <v>25</v>
      </c>
      <c r="W4" s="35">
        <v>27</v>
      </c>
      <c r="X4" s="35">
        <v>27</v>
      </c>
      <c r="Y4" s="11">
        <f t="shared" si="6"/>
        <v>79</v>
      </c>
      <c r="Z4" s="23">
        <v>677791</v>
      </c>
      <c r="AA4" s="8">
        <f t="shared" si="7"/>
        <v>0</v>
      </c>
      <c r="AB4" s="23">
        <v>3082.26</v>
      </c>
      <c r="AC4" s="23">
        <v>82</v>
      </c>
      <c r="AD4" s="23">
        <v>19751</v>
      </c>
      <c r="AE4" s="8">
        <f t="shared" si="8"/>
        <v>0</v>
      </c>
      <c r="AF4" s="23">
        <v>1393.9</v>
      </c>
      <c r="AG4" s="23">
        <v>65</v>
      </c>
      <c r="AH4" s="36">
        <f t="shared" si="9"/>
        <v>79</v>
      </c>
      <c r="AI4" s="21">
        <f t="shared" si="10"/>
        <v>19.59999999999809</v>
      </c>
      <c r="AJ4" s="22">
        <f t="shared" si="11"/>
        <v>59.40000000000191</v>
      </c>
      <c r="AK4" s="17">
        <f t="shared" si="12"/>
        <v>538.95000000001528</v>
      </c>
      <c r="AL4" s="30">
        <f t="shared" si="13"/>
        <v>598.35000000001719</v>
      </c>
    </row>
    <row r="5" spans="1:38" ht="25.5" customHeight="1">
      <c r="A5" s="39" t="s">
        <v>164</v>
      </c>
      <c r="B5" s="35">
        <v>3663.65</v>
      </c>
      <c r="C5" s="35">
        <v>128.5</v>
      </c>
      <c r="D5" s="23">
        <v>2616.0100000000002</v>
      </c>
      <c r="E5" s="23">
        <v>479.15</v>
      </c>
      <c r="F5" s="23">
        <v>0.84699999999999998</v>
      </c>
      <c r="G5" s="23">
        <v>0.44400000000000001</v>
      </c>
      <c r="H5" s="23">
        <v>40</v>
      </c>
      <c r="I5" s="5">
        <f t="shared" si="0"/>
        <v>0.40000000000190994</v>
      </c>
      <c r="J5" s="6">
        <f t="shared" si="1"/>
        <v>451.99999999998909</v>
      </c>
      <c r="K5" s="23">
        <v>191636.65</v>
      </c>
      <c r="L5" s="23">
        <v>0.99399999999999999</v>
      </c>
      <c r="M5" s="7">
        <f t="shared" si="2"/>
        <v>81.670000000012806</v>
      </c>
      <c r="N5" s="35">
        <v>93</v>
      </c>
      <c r="O5" s="8">
        <f t="shared" si="3"/>
        <v>2</v>
      </c>
      <c r="P5" s="23">
        <v>588.29999999999995</v>
      </c>
      <c r="Q5" s="23">
        <v>95</v>
      </c>
      <c r="R5" s="23">
        <v>130184.16</v>
      </c>
      <c r="S5" s="23">
        <v>0.91700000000000004</v>
      </c>
      <c r="T5" s="9">
        <f t="shared" si="4"/>
        <v>0</v>
      </c>
      <c r="U5" s="10">
        <f t="shared" si="5"/>
        <v>535.67000000000189</v>
      </c>
      <c r="V5" s="35">
        <v>24</v>
      </c>
      <c r="W5" s="35">
        <v>23</v>
      </c>
      <c r="X5" s="35">
        <v>24</v>
      </c>
      <c r="Y5" s="11">
        <f t="shared" si="6"/>
        <v>71</v>
      </c>
      <c r="Z5" s="23">
        <v>677791</v>
      </c>
      <c r="AA5" s="8">
        <f t="shared" si="7"/>
        <v>0</v>
      </c>
      <c r="AB5" s="23">
        <v>3082.26</v>
      </c>
      <c r="AC5" s="23">
        <v>82</v>
      </c>
      <c r="AD5" s="23">
        <v>19751</v>
      </c>
      <c r="AE5" s="8">
        <f t="shared" si="8"/>
        <v>1</v>
      </c>
      <c r="AF5" s="23">
        <v>1394</v>
      </c>
      <c r="AG5" s="23">
        <v>65</v>
      </c>
      <c r="AH5" s="36">
        <f t="shared" si="9"/>
        <v>71</v>
      </c>
      <c r="AI5" s="21">
        <f t="shared" si="10"/>
        <v>0.40000000000190994</v>
      </c>
      <c r="AJ5" s="22">
        <f t="shared" si="11"/>
        <v>70.59999999999809</v>
      </c>
      <c r="AK5" s="17">
        <f t="shared" si="12"/>
        <v>536.67000000000189</v>
      </c>
      <c r="AL5" s="30">
        <f t="shared" si="13"/>
        <v>607.27</v>
      </c>
    </row>
    <row r="6" spans="1:38" ht="25.5" customHeight="1">
      <c r="A6" s="39" t="s">
        <v>165</v>
      </c>
      <c r="B6" s="35">
        <v>3674.9</v>
      </c>
      <c r="C6" s="35">
        <v>1125</v>
      </c>
      <c r="D6" s="23">
        <v>2627.31</v>
      </c>
      <c r="E6" s="23">
        <v>479.16</v>
      </c>
      <c r="F6" s="23">
        <v>0.84399999999999997</v>
      </c>
      <c r="G6" s="23">
        <v>0.46</v>
      </c>
      <c r="H6" s="23">
        <v>40</v>
      </c>
      <c r="I6" s="5">
        <f t="shared" si="0"/>
        <v>1.1999999999989086</v>
      </c>
      <c r="J6" s="6">
        <f t="shared" si="1"/>
        <v>989.20000000000073</v>
      </c>
      <c r="K6" s="23">
        <v>191718.32</v>
      </c>
      <c r="L6" s="23">
        <v>0.99399999999999999</v>
      </c>
      <c r="M6" s="7">
        <f t="shared" si="2"/>
        <v>171.30999999999767</v>
      </c>
      <c r="N6" s="23">
        <v>95</v>
      </c>
      <c r="O6" s="8">
        <f t="shared" si="3"/>
        <v>-2</v>
      </c>
      <c r="P6" s="23">
        <v>588.4</v>
      </c>
      <c r="Q6" s="23">
        <v>92</v>
      </c>
      <c r="R6" s="23">
        <v>130184.16</v>
      </c>
      <c r="S6" s="23">
        <v>0.91700000000000004</v>
      </c>
      <c r="T6" s="9">
        <f t="shared" si="4"/>
        <v>0</v>
      </c>
      <c r="U6" s="10">
        <f t="shared" si="5"/>
        <v>1158.5099999999984</v>
      </c>
      <c r="V6" s="35">
        <v>20</v>
      </c>
      <c r="W6" s="35">
        <v>21</v>
      </c>
      <c r="X6" s="35">
        <v>22</v>
      </c>
      <c r="Y6" s="11">
        <f t="shared" si="6"/>
        <v>63</v>
      </c>
      <c r="Z6" s="23">
        <v>677791</v>
      </c>
      <c r="AA6" s="8">
        <f t="shared" si="7"/>
        <v>0</v>
      </c>
      <c r="AB6" s="23">
        <v>3082.28</v>
      </c>
      <c r="AC6" s="23">
        <v>81</v>
      </c>
      <c r="AD6" s="23">
        <v>19752</v>
      </c>
      <c r="AE6" s="8">
        <f t="shared" si="8"/>
        <v>0</v>
      </c>
      <c r="AF6" s="23">
        <v>1394</v>
      </c>
      <c r="AG6" s="23">
        <v>64</v>
      </c>
      <c r="AH6" s="36">
        <f t="shared" si="9"/>
        <v>63</v>
      </c>
      <c r="AI6" s="21">
        <f t="shared" si="10"/>
        <v>1.1999999999989086</v>
      </c>
      <c r="AJ6" s="22">
        <f t="shared" si="11"/>
        <v>61.800000000001091</v>
      </c>
      <c r="AK6" s="17">
        <f t="shared" si="12"/>
        <v>1158.5099999999984</v>
      </c>
      <c r="AL6" s="30">
        <f t="shared" si="13"/>
        <v>1220.3099999999995</v>
      </c>
    </row>
    <row r="7" spans="1:38" ht="25.5" customHeight="1">
      <c r="A7" s="39" t="s">
        <v>166</v>
      </c>
      <c r="B7" s="35">
        <v>3694.73</v>
      </c>
      <c r="C7" s="35">
        <v>198.3</v>
      </c>
      <c r="D7" s="23">
        <v>2652.04</v>
      </c>
      <c r="E7" s="23">
        <v>479.19</v>
      </c>
      <c r="F7" s="23">
        <v>0.85099999999999998</v>
      </c>
      <c r="G7" s="23">
        <v>0.45400000000000001</v>
      </c>
      <c r="H7" s="23">
        <v>40</v>
      </c>
      <c r="I7" s="5">
        <f t="shared" si="0"/>
        <v>0.3999999999996362</v>
      </c>
      <c r="J7" s="6">
        <f t="shared" si="1"/>
        <v>530.79999999999927</v>
      </c>
      <c r="K7" s="23">
        <v>191889.63</v>
      </c>
      <c r="L7" s="23">
        <v>0.995</v>
      </c>
      <c r="M7" s="7">
        <f t="shared" si="2"/>
        <v>60.059999999997672</v>
      </c>
      <c r="N7" s="23">
        <v>93</v>
      </c>
      <c r="O7" s="8">
        <f t="shared" si="3"/>
        <v>1</v>
      </c>
      <c r="P7" s="23">
        <v>588.4</v>
      </c>
      <c r="Q7" s="23">
        <v>92</v>
      </c>
      <c r="R7" s="23">
        <v>130184.16</v>
      </c>
      <c r="S7" s="23">
        <v>0.91700000000000004</v>
      </c>
      <c r="T7" s="25">
        <f t="shared" si="4"/>
        <v>9.9999999947613105E-3</v>
      </c>
      <c r="U7" s="26">
        <f t="shared" si="5"/>
        <v>591.86999999999171</v>
      </c>
      <c r="V7" s="35">
        <v>20</v>
      </c>
      <c r="W7" s="35">
        <v>24</v>
      </c>
      <c r="X7" s="35">
        <v>25</v>
      </c>
      <c r="Y7" s="11">
        <f t="shared" si="6"/>
        <v>69</v>
      </c>
      <c r="Z7" s="23">
        <v>677791</v>
      </c>
      <c r="AA7" s="8">
        <f t="shared" si="7"/>
        <v>0</v>
      </c>
      <c r="AB7" s="23">
        <v>3082.31</v>
      </c>
      <c r="AC7" s="23">
        <v>81</v>
      </c>
      <c r="AD7" s="23">
        <v>19752</v>
      </c>
      <c r="AE7" s="8">
        <f t="shared" si="8"/>
        <v>1</v>
      </c>
      <c r="AF7" s="23">
        <v>1394.1</v>
      </c>
      <c r="AG7" s="23">
        <v>64</v>
      </c>
      <c r="AH7" s="36">
        <f t="shared" si="9"/>
        <v>69</v>
      </c>
      <c r="AI7" s="21">
        <f t="shared" si="10"/>
        <v>0.3999999999996362</v>
      </c>
      <c r="AJ7" s="22">
        <f t="shared" si="11"/>
        <v>68.600000000000364</v>
      </c>
      <c r="AK7" s="27">
        <f t="shared" si="12"/>
        <v>592.86999999999171</v>
      </c>
      <c r="AL7" s="40">
        <f t="shared" si="13"/>
        <v>661.46999999999207</v>
      </c>
    </row>
    <row r="8" spans="1:38" ht="25.5" customHeight="1">
      <c r="A8" s="39" t="s">
        <v>167</v>
      </c>
      <c r="B8" s="35">
        <v>3708.34</v>
      </c>
      <c r="C8" s="35">
        <v>136.1</v>
      </c>
      <c r="D8" s="23">
        <v>2665.31</v>
      </c>
      <c r="E8" s="23">
        <v>479.2</v>
      </c>
      <c r="F8" s="23">
        <v>0.85099999999999998</v>
      </c>
      <c r="G8" s="23">
        <v>0.441</v>
      </c>
      <c r="H8" s="23">
        <v>40</v>
      </c>
      <c r="I8" s="5">
        <f t="shared" si="0"/>
        <v>0.80000000000154614</v>
      </c>
      <c r="J8" s="6">
        <f t="shared" si="1"/>
        <v>499.60000000000946</v>
      </c>
      <c r="K8" s="23">
        <v>191949.69</v>
      </c>
      <c r="L8" s="23">
        <v>0.995</v>
      </c>
      <c r="M8" s="7">
        <f t="shared" si="2"/>
        <v>76.510000000009313</v>
      </c>
      <c r="N8" s="23">
        <v>94</v>
      </c>
      <c r="O8" s="8">
        <f t="shared" si="3"/>
        <v>0</v>
      </c>
      <c r="P8" s="23">
        <v>598</v>
      </c>
      <c r="Q8" s="23">
        <v>97</v>
      </c>
      <c r="R8" s="23">
        <v>130184.17</v>
      </c>
      <c r="S8" s="23">
        <v>0.91700000000000004</v>
      </c>
      <c r="T8" s="25">
        <f t="shared" si="4"/>
        <v>9.9999999947613105E-3</v>
      </c>
      <c r="U8" s="26">
        <f t="shared" si="5"/>
        <v>576.12000000001353</v>
      </c>
      <c r="V8" s="35">
        <v>20</v>
      </c>
      <c r="W8" s="35">
        <v>22</v>
      </c>
      <c r="X8" s="35">
        <v>23</v>
      </c>
      <c r="Y8" s="11">
        <f t="shared" si="6"/>
        <v>65</v>
      </c>
      <c r="Z8" s="23">
        <v>677791</v>
      </c>
      <c r="AA8" s="8">
        <f t="shared" si="7"/>
        <v>0</v>
      </c>
      <c r="AB8" s="23">
        <v>3082.33</v>
      </c>
      <c r="AC8" s="23">
        <v>81</v>
      </c>
      <c r="AD8" s="23">
        <v>19753</v>
      </c>
      <c r="AE8" s="8">
        <f t="shared" si="8"/>
        <v>0</v>
      </c>
      <c r="AF8" s="23">
        <v>1394.1</v>
      </c>
      <c r="AG8" s="23">
        <v>64</v>
      </c>
      <c r="AH8" s="36">
        <f t="shared" si="9"/>
        <v>65</v>
      </c>
      <c r="AI8" s="21">
        <f t="shared" si="10"/>
        <v>0.80000000000154614</v>
      </c>
      <c r="AJ8" s="22">
        <f t="shared" si="11"/>
        <v>64.199999999998454</v>
      </c>
      <c r="AK8" s="27">
        <f t="shared" si="12"/>
        <v>576.12000000001353</v>
      </c>
      <c r="AL8" s="40">
        <f t="shared" si="13"/>
        <v>640.32000000001199</v>
      </c>
    </row>
    <row r="9" spans="1:38" ht="25.5" customHeight="1">
      <c r="A9" s="39" t="s">
        <v>168</v>
      </c>
      <c r="B9" s="35">
        <v>3721.96</v>
      </c>
      <c r="C9" s="35">
        <v>136.19999999999999</v>
      </c>
      <c r="D9" s="23">
        <v>2677.8</v>
      </c>
      <c r="E9" s="23">
        <v>479.22</v>
      </c>
      <c r="F9" s="23">
        <v>0.85099999999999998</v>
      </c>
      <c r="G9" s="23">
        <v>0.42699999999999999</v>
      </c>
      <c r="H9" s="23">
        <v>40</v>
      </c>
      <c r="I9" s="5">
        <f t="shared" si="0"/>
        <v>13.599999999999</v>
      </c>
      <c r="J9" s="6">
        <f t="shared" si="1"/>
        <v>413.19999999999709</v>
      </c>
      <c r="K9" s="23">
        <v>192026.2</v>
      </c>
      <c r="L9" s="23">
        <v>0.995</v>
      </c>
      <c r="M9" s="7">
        <f t="shared" si="2"/>
        <v>82.929999999993015</v>
      </c>
      <c r="N9" s="23">
        <v>94</v>
      </c>
      <c r="O9" s="8">
        <f t="shared" si="3"/>
        <v>0</v>
      </c>
      <c r="P9" s="23">
        <v>598</v>
      </c>
      <c r="Q9" s="23">
        <v>68</v>
      </c>
      <c r="R9" s="23">
        <v>130184.18</v>
      </c>
      <c r="S9" s="23">
        <v>0.91700000000000004</v>
      </c>
      <c r="T9" s="25">
        <f t="shared" si="4"/>
        <v>161</v>
      </c>
      <c r="U9" s="26">
        <f t="shared" si="5"/>
        <v>657.1299999999901</v>
      </c>
      <c r="V9" s="35">
        <v>21</v>
      </c>
      <c r="W9" s="35">
        <v>25</v>
      </c>
      <c r="X9" s="35">
        <v>29</v>
      </c>
      <c r="Y9" s="11">
        <f t="shared" si="6"/>
        <v>75</v>
      </c>
      <c r="Z9" s="23">
        <v>677791</v>
      </c>
      <c r="AA9" s="8">
        <f t="shared" si="7"/>
        <v>0</v>
      </c>
      <c r="AB9" s="23">
        <v>3082.34</v>
      </c>
      <c r="AC9" s="23">
        <v>81</v>
      </c>
      <c r="AD9" s="23">
        <v>19753</v>
      </c>
      <c r="AE9" s="8">
        <f t="shared" si="8"/>
        <v>0</v>
      </c>
      <c r="AF9" s="23">
        <v>1394.1</v>
      </c>
      <c r="AG9" s="23">
        <v>64</v>
      </c>
      <c r="AH9" s="36">
        <f t="shared" si="9"/>
        <v>75</v>
      </c>
      <c r="AI9" s="21">
        <f t="shared" si="10"/>
        <v>13.599999999999</v>
      </c>
      <c r="AJ9" s="22">
        <f t="shared" si="11"/>
        <v>61.400000000001</v>
      </c>
      <c r="AK9" s="27">
        <f t="shared" si="12"/>
        <v>657.1299999999901</v>
      </c>
      <c r="AL9" s="40">
        <f t="shared" si="13"/>
        <v>718.52999999999111</v>
      </c>
    </row>
    <row r="10" spans="1:38" ht="25.5" customHeight="1">
      <c r="A10" s="39" t="s">
        <v>169</v>
      </c>
      <c r="B10" s="35">
        <v>3733.89</v>
      </c>
      <c r="C10" s="35">
        <v>119.3</v>
      </c>
      <c r="D10" s="23">
        <v>2688.13</v>
      </c>
      <c r="E10" s="23">
        <v>479.56</v>
      </c>
      <c r="F10" s="23">
        <v>0.84799999999999998</v>
      </c>
      <c r="G10" s="23">
        <v>0.44400000000000001</v>
      </c>
      <c r="H10" s="23">
        <v>40</v>
      </c>
      <c r="I10" s="5">
        <f t="shared" si="0"/>
        <v>45.599999999999454</v>
      </c>
      <c r="J10" s="6">
        <f t="shared" si="1"/>
        <v>364.79999999999563</v>
      </c>
      <c r="K10" s="23">
        <v>192109.13</v>
      </c>
      <c r="L10" s="23">
        <v>0.995</v>
      </c>
      <c r="M10" s="7">
        <f t="shared" si="2"/>
        <v>91.559999999997672</v>
      </c>
      <c r="N10" s="23">
        <v>94</v>
      </c>
      <c r="O10" s="8">
        <f t="shared" si="3"/>
        <v>0</v>
      </c>
      <c r="P10" s="23">
        <v>598.20000000000005</v>
      </c>
      <c r="Q10" s="23">
        <v>60</v>
      </c>
      <c r="R10" s="23">
        <v>130345.18</v>
      </c>
      <c r="S10" s="23">
        <v>0.85499999999999998</v>
      </c>
      <c r="T10" s="25">
        <f t="shared" si="4"/>
        <v>32.010000000009313</v>
      </c>
      <c r="U10" s="26">
        <f t="shared" si="5"/>
        <v>488.37000000000262</v>
      </c>
      <c r="V10" s="35">
        <v>30</v>
      </c>
      <c r="W10" s="35">
        <v>32</v>
      </c>
      <c r="X10" s="35">
        <v>33</v>
      </c>
      <c r="Y10" s="11">
        <f t="shared" si="6"/>
        <v>95</v>
      </c>
      <c r="Z10" s="23">
        <v>677791</v>
      </c>
      <c r="AA10" s="8">
        <f t="shared" si="7"/>
        <v>0</v>
      </c>
      <c r="AB10" s="23">
        <v>3082.84</v>
      </c>
      <c r="AC10" s="23">
        <v>81</v>
      </c>
      <c r="AD10" s="23">
        <v>19753</v>
      </c>
      <c r="AE10" s="8">
        <f t="shared" si="8"/>
        <v>8</v>
      </c>
      <c r="AF10" s="23">
        <v>1394.1</v>
      </c>
      <c r="AG10" s="23">
        <v>64</v>
      </c>
      <c r="AH10" s="36">
        <f t="shared" si="9"/>
        <v>95</v>
      </c>
      <c r="AI10" s="21">
        <f t="shared" si="10"/>
        <v>45.599999999999454</v>
      </c>
      <c r="AJ10" s="22">
        <f t="shared" si="11"/>
        <v>49.400000000000546</v>
      </c>
      <c r="AK10" s="27">
        <f t="shared" si="12"/>
        <v>496.37000000000262</v>
      </c>
      <c r="AL10" s="40">
        <f t="shared" si="13"/>
        <v>545.77000000000317</v>
      </c>
    </row>
    <row r="11" spans="1:38" ht="25.5" customHeight="1">
      <c r="A11" s="39" t="s">
        <v>170</v>
      </c>
      <c r="B11" s="35">
        <v>3744.89</v>
      </c>
      <c r="C11" s="35">
        <v>110</v>
      </c>
      <c r="D11" s="23">
        <v>2697.25</v>
      </c>
      <c r="E11" s="23">
        <v>480.7</v>
      </c>
      <c r="F11" s="23">
        <v>0.84799999999999998</v>
      </c>
      <c r="G11" s="23">
        <v>0.52300000000000002</v>
      </c>
      <c r="H11" s="23">
        <v>40</v>
      </c>
      <c r="I11" s="5">
        <f t="shared" si="0"/>
        <v>56.400000000001</v>
      </c>
      <c r="J11" s="6">
        <f t="shared" si="1"/>
        <v>209.20000000000073</v>
      </c>
      <c r="K11" s="23">
        <v>192200.69</v>
      </c>
      <c r="L11" s="23">
        <v>0.99399999999999999</v>
      </c>
      <c r="M11" s="7">
        <f t="shared" si="2"/>
        <v>80</v>
      </c>
      <c r="N11" s="23">
        <v>94</v>
      </c>
      <c r="O11" s="8">
        <f t="shared" si="3"/>
        <v>0</v>
      </c>
      <c r="P11" s="23">
        <v>599</v>
      </c>
      <c r="Q11" s="23">
        <v>58</v>
      </c>
      <c r="R11" s="23">
        <v>130377.19</v>
      </c>
      <c r="S11" s="23">
        <v>0.89</v>
      </c>
      <c r="T11" s="25">
        <f t="shared" si="4"/>
        <v>49.940000000002328</v>
      </c>
      <c r="U11" s="26">
        <f t="shared" si="5"/>
        <v>339.14000000000306</v>
      </c>
      <c r="V11" s="35">
        <v>40</v>
      </c>
      <c r="W11" s="35">
        <v>41</v>
      </c>
      <c r="X11" s="35">
        <v>42</v>
      </c>
      <c r="Y11" s="11">
        <f t="shared" si="6"/>
        <v>123</v>
      </c>
      <c r="Z11" s="23">
        <v>677791</v>
      </c>
      <c r="AA11" s="8">
        <f t="shared" si="7"/>
        <v>0</v>
      </c>
      <c r="AB11" s="23">
        <v>3082.4</v>
      </c>
      <c r="AC11" s="23">
        <v>80</v>
      </c>
      <c r="AD11" s="23">
        <v>19761</v>
      </c>
      <c r="AE11" s="8">
        <f t="shared" si="8"/>
        <v>3</v>
      </c>
      <c r="AF11" s="23">
        <v>1395.1</v>
      </c>
      <c r="AG11" s="23">
        <v>57</v>
      </c>
      <c r="AH11" s="36">
        <f t="shared" si="9"/>
        <v>123</v>
      </c>
      <c r="AI11" s="21">
        <f t="shared" si="10"/>
        <v>56.400000000001</v>
      </c>
      <c r="AJ11" s="22">
        <f t="shared" si="11"/>
        <v>66.599999999999</v>
      </c>
      <c r="AK11" s="27">
        <f t="shared" si="12"/>
        <v>342.14000000000306</v>
      </c>
      <c r="AL11" s="40">
        <f t="shared" si="13"/>
        <v>408.74000000000206</v>
      </c>
    </row>
    <row r="12" spans="1:38" ht="25.5" customHeight="1">
      <c r="A12" s="39" t="s">
        <v>171</v>
      </c>
      <c r="B12" s="35">
        <v>3751.33</v>
      </c>
      <c r="C12" s="35">
        <v>82.4</v>
      </c>
      <c r="D12" s="23">
        <v>2702.48</v>
      </c>
      <c r="E12" s="23">
        <v>482.11</v>
      </c>
      <c r="F12" s="23">
        <v>0.84399999999999997</v>
      </c>
      <c r="G12" s="23">
        <v>0.55800000000000005</v>
      </c>
      <c r="H12" s="23">
        <v>40</v>
      </c>
      <c r="I12" s="5">
        <f t="shared" si="0"/>
        <v>49.600000000000364</v>
      </c>
      <c r="J12" s="6">
        <f t="shared" si="1"/>
        <v>247.19999999999345</v>
      </c>
      <c r="K12" s="23">
        <v>192280.69</v>
      </c>
      <c r="L12" s="23">
        <v>0.99399999999999999</v>
      </c>
      <c r="M12" s="7">
        <f t="shared" si="2"/>
        <v>3.8599999999860302</v>
      </c>
      <c r="N12" s="23">
        <v>94</v>
      </c>
      <c r="O12" s="8">
        <f t="shared" si="3"/>
        <v>0</v>
      </c>
      <c r="P12" s="23">
        <v>599</v>
      </c>
      <c r="Q12" s="23">
        <v>57</v>
      </c>
      <c r="R12" s="23">
        <v>130427.13</v>
      </c>
      <c r="S12" s="23">
        <v>0.89</v>
      </c>
      <c r="T12" s="25">
        <f t="shared" si="4"/>
        <v>38.279999999998836</v>
      </c>
      <c r="U12" s="26">
        <f t="shared" si="5"/>
        <v>289.33999999997832</v>
      </c>
      <c r="V12" s="35">
        <v>35</v>
      </c>
      <c r="W12" s="35">
        <v>40</v>
      </c>
      <c r="X12" s="35">
        <v>40</v>
      </c>
      <c r="Y12" s="11">
        <f t="shared" si="6"/>
        <v>115</v>
      </c>
      <c r="Z12" s="23">
        <v>677791</v>
      </c>
      <c r="AA12" s="8">
        <f t="shared" si="7"/>
        <v>68</v>
      </c>
      <c r="AB12" s="23">
        <v>3082.45</v>
      </c>
      <c r="AC12" s="23">
        <v>80</v>
      </c>
      <c r="AD12" s="23">
        <v>19764</v>
      </c>
      <c r="AE12" s="8">
        <f t="shared" si="8"/>
        <v>24</v>
      </c>
      <c r="AF12" s="23">
        <v>1385.5</v>
      </c>
      <c r="AG12" s="23">
        <v>55</v>
      </c>
      <c r="AH12" s="36">
        <f t="shared" si="9"/>
        <v>115</v>
      </c>
      <c r="AI12" s="21">
        <f t="shared" si="10"/>
        <v>49.600000000000364</v>
      </c>
      <c r="AJ12" s="22">
        <f t="shared" si="11"/>
        <v>65.399999999999636</v>
      </c>
      <c r="AK12" s="27">
        <f t="shared" si="12"/>
        <v>381.33999999997832</v>
      </c>
      <c r="AL12" s="40">
        <f t="shared" si="13"/>
        <v>446.73999999997795</v>
      </c>
    </row>
    <row r="13" spans="1:38" ht="25.5" customHeight="1">
      <c r="A13" s="39" t="s">
        <v>172</v>
      </c>
      <c r="B13" s="35">
        <v>3763.69</v>
      </c>
      <c r="C13" s="35">
        <v>105.6</v>
      </c>
      <c r="D13" s="23">
        <v>2708.66</v>
      </c>
      <c r="E13" s="23">
        <v>483.35</v>
      </c>
      <c r="F13" s="23">
        <v>0.84099999999999997</v>
      </c>
      <c r="G13" s="23">
        <v>0.54100000000000004</v>
      </c>
      <c r="H13" s="23">
        <v>40</v>
      </c>
      <c r="I13" s="5">
        <f t="shared" si="0"/>
        <v>43.199999999999363</v>
      </c>
      <c r="J13" s="6">
        <f t="shared" si="1"/>
        <v>336.80000000000291</v>
      </c>
      <c r="K13" s="23">
        <v>192284.55</v>
      </c>
      <c r="L13" s="23">
        <v>0.99399999999999999</v>
      </c>
      <c r="M13" s="7">
        <f t="shared" si="2"/>
        <v>61.910000000003492</v>
      </c>
      <c r="N13" s="23">
        <v>94</v>
      </c>
      <c r="O13" s="8">
        <f t="shared" si="3"/>
        <v>0</v>
      </c>
      <c r="P13" s="23">
        <v>600.6</v>
      </c>
      <c r="Q13" s="23">
        <v>50</v>
      </c>
      <c r="R13" s="23">
        <v>130465.41</v>
      </c>
      <c r="S13" s="23">
        <v>0.86799999999999999</v>
      </c>
      <c r="T13" s="25">
        <f t="shared" si="4"/>
        <v>0</v>
      </c>
      <c r="U13" s="26">
        <f t="shared" si="5"/>
        <v>398.7100000000064</v>
      </c>
      <c r="V13" s="35">
        <v>30</v>
      </c>
      <c r="W13" s="35">
        <v>33</v>
      </c>
      <c r="X13" s="35">
        <v>32</v>
      </c>
      <c r="Y13" s="11">
        <f t="shared" si="6"/>
        <v>95</v>
      </c>
      <c r="Z13" s="23">
        <v>677859</v>
      </c>
      <c r="AA13" s="8">
        <f t="shared" si="7"/>
        <v>656</v>
      </c>
      <c r="AB13" s="23">
        <v>3083.01</v>
      </c>
      <c r="AC13" s="23">
        <v>85</v>
      </c>
      <c r="AD13" s="23">
        <v>19788</v>
      </c>
      <c r="AE13" s="8">
        <f t="shared" si="8"/>
        <v>1</v>
      </c>
      <c r="AF13" s="23">
        <v>1398.4</v>
      </c>
      <c r="AG13" s="23">
        <v>94</v>
      </c>
      <c r="AH13" s="36">
        <f t="shared" si="9"/>
        <v>95</v>
      </c>
      <c r="AI13" s="21">
        <f t="shared" si="10"/>
        <v>43.199999999999363</v>
      </c>
      <c r="AJ13" s="22">
        <f t="shared" si="11"/>
        <v>51.800000000000637</v>
      </c>
      <c r="AK13" s="27">
        <f t="shared" si="12"/>
        <v>1055.7100000000064</v>
      </c>
      <c r="AL13" s="40">
        <f t="shared" si="13"/>
        <v>1107.510000000007</v>
      </c>
    </row>
    <row r="14" spans="1:38" ht="25.5" customHeight="1">
      <c r="A14" s="39" t="s">
        <v>173</v>
      </c>
      <c r="B14" s="23">
        <v>3780.07</v>
      </c>
      <c r="C14" s="23">
        <v>163.80000000000001</v>
      </c>
      <c r="D14" s="23">
        <v>2717.08</v>
      </c>
      <c r="E14" s="23">
        <v>484.43</v>
      </c>
      <c r="F14" s="23">
        <v>0.84199999999999997</v>
      </c>
      <c r="G14" s="23">
        <v>0.61499999999999999</v>
      </c>
      <c r="H14" s="23">
        <v>40</v>
      </c>
      <c r="I14" s="5">
        <f t="shared" si="0"/>
        <v>48.399999999999181</v>
      </c>
      <c r="J14" s="6">
        <f t="shared" si="1"/>
        <v>310</v>
      </c>
      <c r="K14" s="23">
        <v>192346.46</v>
      </c>
      <c r="L14" s="23">
        <v>0.99399999999999999</v>
      </c>
      <c r="M14" s="7">
        <f t="shared" si="2"/>
        <v>78</v>
      </c>
      <c r="N14" s="23">
        <v>94</v>
      </c>
      <c r="O14" s="8">
        <f t="shared" si="3"/>
        <v>0</v>
      </c>
      <c r="P14" s="23">
        <v>602.29999999999995</v>
      </c>
      <c r="Q14" s="23">
        <v>100</v>
      </c>
      <c r="R14" s="23">
        <v>130465.41</v>
      </c>
      <c r="S14" s="23">
        <v>0.86799999999999999</v>
      </c>
      <c r="T14" s="25">
        <f t="shared" si="4"/>
        <v>91.05000000000291</v>
      </c>
      <c r="U14" s="26">
        <f t="shared" si="5"/>
        <v>479.05000000000291</v>
      </c>
      <c r="V14" s="35">
        <v>45</v>
      </c>
      <c r="W14" s="35">
        <v>44</v>
      </c>
      <c r="X14" s="35">
        <v>46</v>
      </c>
      <c r="Y14" s="11">
        <f t="shared" si="6"/>
        <v>135</v>
      </c>
      <c r="Z14" s="23">
        <v>678515</v>
      </c>
      <c r="AA14" s="8">
        <f t="shared" si="7"/>
        <v>0</v>
      </c>
      <c r="AB14" s="23">
        <v>3085.16</v>
      </c>
      <c r="AC14" s="23">
        <v>70</v>
      </c>
      <c r="AD14" s="23">
        <v>19789</v>
      </c>
      <c r="AE14" s="8">
        <f t="shared" si="8"/>
        <v>6</v>
      </c>
      <c r="AF14" s="23">
        <v>1398.7</v>
      </c>
      <c r="AG14" s="23">
        <v>94</v>
      </c>
      <c r="AH14" s="36">
        <f t="shared" si="9"/>
        <v>135</v>
      </c>
      <c r="AI14" s="21">
        <f t="shared" si="10"/>
        <v>48.399999999999181</v>
      </c>
      <c r="AJ14" s="22">
        <f t="shared" si="11"/>
        <v>86.600000000000819</v>
      </c>
      <c r="AK14" s="27">
        <f t="shared" si="12"/>
        <v>485.05000000000291</v>
      </c>
      <c r="AL14" s="40">
        <f t="shared" si="13"/>
        <v>571.65000000000373</v>
      </c>
    </row>
    <row r="15" spans="1:38" ht="25.5" customHeight="1">
      <c r="A15" s="39" t="s">
        <v>174</v>
      </c>
      <c r="B15" s="23">
        <v>3790.5</v>
      </c>
      <c r="C15" s="23">
        <v>104.3</v>
      </c>
      <c r="D15" s="23">
        <v>2724.83</v>
      </c>
      <c r="E15" s="23">
        <v>485.64</v>
      </c>
      <c r="F15" s="23">
        <v>0.84199999999999997</v>
      </c>
      <c r="G15" s="23">
        <v>0.626</v>
      </c>
      <c r="H15" s="23">
        <v>40</v>
      </c>
      <c r="I15" s="5">
        <f t="shared" si="0"/>
        <v>102.40000000000009</v>
      </c>
      <c r="J15" s="6">
        <f t="shared" si="1"/>
        <v>306.00000000000364</v>
      </c>
      <c r="K15" s="23">
        <v>192424.46</v>
      </c>
      <c r="L15" s="23">
        <v>0.99399999999999999</v>
      </c>
      <c r="M15" s="7">
        <f t="shared" si="2"/>
        <v>76.020000000018626</v>
      </c>
      <c r="N15" s="23">
        <v>94</v>
      </c>
      <c r="O15" s="8">
        <f t="shared" si="3"/>
        <v>0</v>
      </c>
      <c r="P15" s="23">
        <v>602.29999999999995</v>
      </c>
      <c r="Q15" s="23">
        <v>100</v>
      </c>
      <c r="R15" s="23">
        <v>130556.46</v>
      </c>
      <c r="S15" s="23">
        <v>0.87</v>
      </c>
      <c r="T15" s="25">
        <f t="shared" si="4"/>
        <v>134.27999999999884</v>
      </c>
      <c r="U15" s="26">
        <f t="shared" si="5"/>
        <v>516.3000000000211</v>
      </c>
      <c r="V15" s="35">
        <v>48</v>
      </c>
      <c r="W15" s="35">
        <v>47</v>
      </c>
      <c r="X15" s="35">
        <v>45</v>
      </c>
      <c r="Y15" s="11">
        <f t="shared" si="6"/>
        <v>140</v>
      </c>
      <c r="Z15" s="23">
        <v>678515</v>
      </c>
      <c r="AA15" s="8">
        <f t="shared" si="7"/>
        <v>0</v>
      </c>
      <c r="AB15" s="23">
        <v>3085.18</v>
      </c>
      <c r="AC15" s="23">
        <v>70</v>
      </c>
      <c r="AD15" s="23">
        <v>19795</v>
      </c>
      <c r="AE15" s="8">
        <f t="shared" si="8"/>
        <v>1</v>
      </c>
      <c r="AF15" s="23">
        <v>1399.2</v>
      </c>
      <c r="AG15" s="23">
        <v>88</v>
      </c>
      <c r="AH15" s="36">
        <f t="shared" si="9"/>
        <v>140</v>
      </c>
      <c r="AI15" s="21">
        <f t="shared" si="10"/>
        <v>102.40000000000009</v>
      </c>
      <c r="AJ15" s="22">
        <f t="shared" si="11"/>
        <v>37.599999999999909</v>
      </c>
      <c r="AK15" s="27">
        <f t="shared" si="12"/>
        <v>517.3000000000211</v>
      </c>
      <c r="AL15" s="40">
        <f t="shared" si="13"/>
        <v>554.90000000002101</v>
      </c>
    </row>
    <row r="16" spans="1:38" ht="25.5" customHeight="1">
      <c r="A16" s="39" t="s">
        <v>175</v>
      </c>
      <c r="B16" s="23">
        <v>3803.55</v>
      </c>
      <c r="C16" s="23">
        <v>130.5</v>
      </c>
      <c r="D16" s="23">
        <v>2732.48</v>
      </c>
      <c r="E16" s="23">
        <v>488.2</v>
      </c>
      <c r="F16" s="23">
        <v>0.84299999999999997</v>
      </c>
      <c r="G16" s="23">
        <v>0.64900000000000002</v>
      </c>
      <c r="H16" s="23">
        <v>40</v>
      </c>
      <c r="I16" s="5">
        <f t="shared" si="0"/>
        <v>38.800000000001091</v>
      </c>
      <c r="J16" s="6">
        <f t="shared" si="1"/>
        <v>418.40000000000146</v>
      </c>
      <c r="K16" s="23">
        <v>192500.48000000001</v>
      </c>
      <c r="L16" s="23">
        <v>0.995</v>
      </c>
      <c r="M16" s="7">
        <f t="shared" si="2"/>
        <v>100.13999999998487</v>
      </c>
      <c r="N16" s="23">
        <v>94</v>
      </c>
      <c r="O16" s="8">
        <f t="shared" si="3"/>
        <v>0</v>
      </c>
      <c r="P16" s="23">
        <v>602.4</v>
      </c>
      <c r="Q16" s="23">
        <v>100</v>
      </c>
      <c r="R16" s="23">
        <v>130690.74</v>
      </c>
      <c r="S16" s="23">
        <v>0.86799999999999999</v>
      </c>
      <c r="T16" s="25">
        <f t="shared" si="4"/>
        <v>78.279999999998836</v>
      </c>
      <c r="U16" s="26">
        <f t="shared" si="5"/>
        <v>596.81999999998516</v>
      </c>
      <c r="V16" s="35">
        <v>40</v>
      </c>
      <c r="W16" s="35">
        <v>46</v>
      </c>
      <c r="X16" s="35">
        <v>38</v>
      </c>
      <c r="Y16" s="11">
        <f t="shared" si="6"/>
        <v>124</v>
      </c>
      <c r="Z16" s="23">
        <v>678515</v>
      </c>
      <c r="AA16" s="8">
        <f t="shared" si="7"/>
        <v>0</v>
      </c>
      <c r="AB16" s="23">
        <v>3085.2</v>
      </c>
      <c r="AC16" s="23">
        <v>70</v>
      </c>
      <c r="AD16" s="23">
        <v>19796</v>
      </c>
      <c r="AE16" s="8">
        <f t="shared" si="8"/>
        <v>3</v>
      </c>
      <c r="AF16" s="23">
        <v>1399.4</v>
      </c>
      <c r="AG16" s="23">
        <v>88</v>
      </c>
      <c r="AH16" s="36">
        <f t="shared" si="9"/>
        <v>124</v>
      </c>
      <c r="AI16" s="21">
        <f t="shared" si="10"/>
        <v>38.800000000001091</v>
      </c>
      <c r="AJ16" s="22">
        <f t="shared" si="11"/>
        <v>85.199999999998909</v>
      </c>
      <c r="AK16" s="27">
        <f t="shared" si="12"/>
        <v>599.81999999998516</v>
      </c>
      <c r="AL16" s="40">
        <f t="shared" si="13"/>
        <v>685.01999999998407</v>
      </c>
    </row>
    <row r="17" spans="1:38" ht="25.5" customHeight="1">
      <c r="A17" s="39" t="s">
        <v>176</v>
      </c>
      <c r="B17" s="23">
        <v>3823.32</v>
      </c>
      <c r="C17" s="23">
        <v>197.7</v>
      </c>
      <c r="D17" s="23">
        <v>2742.94</v>
      </c>
      <c r="E17" s="23">
        <v>489.17</v>
      </c>
      <c r="F17" s="23">
        <v>0.84399999999999997</v>
      </c>
      <c r="G17" s="23">
        <v>0.624</v>
      </c>
      <c r="H17" s="23">
        <v>40</v>
      </c>
      <c r="I17" s="5">
        <f t="shared" si="0"/>
        <v>17.599999999999909</v>
      </c>
      <c r="J17" s="6">
        <f t="shared" si="1"/>
        <v>459.20000000000073</v>
      </c>
      <c r="K17" s="23">
        <v>192600.62</v>
      </c>
      <c r="L17" s="23">
        <v>0.995</v>
      </c>
      <c r="M17" s="7">
        <f t="shared" si="2"/>
        <v>84.910000000003492</v>
      </c>
      <c r="N17" s="23">
        <v>94</v>
      </c>
      <c r="O17" s="8">
        <f t="shared" si="3"/>
        <v>0</v>
      </c>
      <c r="P17" s="23">
        <v>602.79999999999995</v>
      </c>
      <c r="Q17" s="23">
        <v>100</v>
      </c>
      <c r="R17" s="23">
        <v>130769.02</v>
      </c>
      <c r="S17" s="23">
        <v>0.86799999999999999</v>
      </c>
      <c r="T17" s="25">
        <f t="shared" si="4"/>
        <v>39</v>
      </c>
      <c r="U17" s="26">
        <f t="shared" si="5"/>
        <v>583.11000000000422</v>
      </c>
      <c r="V17" s="35">
        <v>45</v>
      </c>
      <c r="W17" s="35">
        <v>44</v>
      </c>
      <c r="X17" s="35">
        <v>45</v>
      </c>
      <c r="Y17" s="11">
        <f t="shared" si="6"/>
        <v>134</v>
      </c>
      <c r="Z17" s="23">
        <v>678515</v>
      </c>
      <c r="AA17" s="8">
        <f t="shared" si="7"/>
        <v>0</v>
      </c>
      <c r="AB17" s="23">
        <v>3085.2</v>
      </c>
      <c r="AC17" s="23">
        <v>70</v>
      </c>
      <c r="AD17" s="23">
        <v>19799</v>
      </c>
      <c r="AE17" s="8">
        <f t="shared" si="8"/>
        <v>38</v>
      </c>
      <c r="AF17" s="23">
        <v>1399.5</v>
      </c>
      <c r="AG17" s="23">
        <v>88</v>
      </c>
      <c r="AH17" s="36">
        <f t="shared" si="9"/>
        <v>134</v>
      </c>
      <c r="AI17" s="21">
        <f t="shared" si="10"/>
        <v>17.599999999999909</v>
      </c>
      <c r="AJ17" s="22">
        <f t="shared" si="11"/>
        <v>116.40000000000009</v>
      </c>
      <c r="AK17" s="27">
        <f t="shared" si="12"/>
        <v>621.11000000000422</v>
      </c>
      <c r="AL17" s="40">
        <f t="shared" si="13"/>
        <v>737.51000000000431</v>
      </c>
    </row>
    <row r="18" spans="1:38" ht="25.5" customHeight="1">
      <c r="A18" s="39" t="s">
        <v>177</v>
      </c>
      <c r="B18" s="23">
        <v>3842.88</v>
      </c>
      <c r="C18" s="23">
        <v>195.6</v>
      </c>
      <c r="D18" s="23">
        <v>2754.42</v>
      </c>
      <c r="E18" s="23">
        <v>489.61</v>
      </c>
      <c r="F18" s="23">
        <v>0.84699999999999998</v>
      </c>
      <c r="G18" s="23">
        <v>0.60899999999999999</v>
      </c>
      <c r="H18" s="23">
        <v>40</v>
      </c>
      <c r="I18" s="5">
        <f t="shared" si="0"/>
        <v>10.799999999999272</v>
      </c>
      <c r="J18" s="6">
        <f t="shared" si="1"/>
        <v>648.799999999992</v>
      </c>
      <c r="K18" s="23">
        <v>192685.53</v>
      </c>
      <c r="L18" s="23">
        <v>0.99399999999999999</v>
      </c>
      <c r="M18" s="7">
        <f t="shared" si="2"/>
        <v>93.989999999990687</v>
      </c>
      <c r="N18" s="23">
        <v>94</v>
      </c>
      <c r="O18" s="8">
        <f t="shared" si="3"/>
        <v>0</v>
      </c>
      <c r="P18" s="23">
        <v>605</v>
      </c>
      <c r="Q18" s="23">
        <v>94</v>
      </c>
      <c r="R18" s="23">
        <v>130808.02</v>
      </c>
      <c r="S18" s="23">
        <v>0.86499999999999999</v>
      </c>
      <c r="T18" s="25">
        <f t="shared" si="4"/>
        <v>54.919999999998254</v>
      </c>
      <c r="U18" s="26">
        <f t="shared" si="5"/>
        <v>797.70999999998094</v>
      </c>
      <c r="V18" s="35">
        <v>40</v>
      </c>
      <c r="W18" s="35">
        <v>38</v>
      </c>
      <c r="X18" s="35">
        <v>37</v>
      </c>
      <c r="Y18" s="11">
        <f t="shared" si="6"/>
        <v>115</v>
      </c>
      <c r="Z18" s="23">
        <v>678515</v>
      </c>
      <c r="AA18" s="8">
        <f t="shared" si="7"/>
        <v>0</v>
      </c>
      <c r="AB18" s="23">
        <v>3085.32</v>
      </c>
      <c r="AC18" s="23">
        <v>70</v>
      </c>
      <c r="AD18" s="23">
        <v>19837</v>
      </c>
      <c r="AE18" s="8">
        <f t="shared" si="8"/>
        <v>3</v>
      </c>
      <c r="AF18" s="23">
        <v>1401.08</v>
      </c>
      <c r="AG18" s="23">
        <v>73</v>
      </c>
      <c r="AH18" s="36">
        <f t="shared" si="9"/>
        <v>115</v>
      </c>
      <c r="AI18" s="21">
        <f t="shared" si="10"/>
        <v>10.799999999999272</v>
      </c>
      <c r="AJ18" s="22">
        <f t="shared" si="11"/>
        <v>104.20000000000073</v>
      </c>
      <c r="AK18" s="27">
        <f t="shared" si="12"/>
        <v>800.70999999998094</v>
      </c>
      <c r="AL18" s="40">
        <f t="shared" si="13"/>
        <v>904.90999999998166</v>
      </c>
    </row>
    <row r="19" spans="1:38" ht="25.5" customHeight="1">
      <c r="A19" s="39" t="s">
        <v>178</v>
      </c>
      <c r="B19" s="23">
        <v>3870.65</v>
      </c>
      <c r="C19" s="23">
        <v>277.7</v>
      </c>
      <c r="D19" s="23">
        <v>2770.64</v>
      </c>
      <c r="E19" s="23">
        <v>489.88</v>
      </c>
      <c r="F19" s="23">
        <v>0.85199999999999998</v>
      </c>
      <c r="G19" s="23">
        <v>0.59099999999999997</v>
      </c>
      <c r="H19" s="23">
        <v>40</v>
      </c>
      <c r="I19" s="5">
        <f t="shared" si="0"/>
        <v>40.799999999999272</v>
      </c>
      <c r="J19" s="6">
        <f t="shared" si="1"/>
        <v>872.00000000000728</v>
      </c>
      <c r="K19" s="23">
        <v>192779.51999999999</v>
      </c>
      <c r="L19" s="23">
        <v>0.995</v>
      </c>
      <c r="M19" s="7">
        <f t="shared" si="2"/>
        <v>211.90000000002328</v>
      </c>
      <c r="N19" s="23">
        <v>94</v>
      </c>
      <c r="O19" s="8">
        <f t="shared" si="3"/>
        <v>0</v>
      </c>
      <c r="P19" s="23">
        <v>605.1</v>
      </c>
      <c r="Q19" s="23">
        <v>98</v>
      </c>
      <c r="R19" s="23">
        <v>130862.94</v>
      </c>
      <c r="S19" s="23">
        <v>0.86699999999999999</v>
      </c>
      <c r="T19" s="25">
        <f t="shared" si="4"/>
        <v>0</v>
      </c>
      <c r="U19" s="26">
        <f t="shared" si="5"/>
        <v>1083.9000000000306</v>
      </c>
      <c r="V19" s="35">
        <v>30</v>
      </c>
      <c r="W19" s="35">
        <v>35</v>
      </c>
      <c r="X19" s="35">
        <v>32</v>
      </c>
      <c r="Y19" s="11">
        <f t="shared" si="6"/>
        <v>97</v>
      </c>
      <c r="Z19" s="23">
        <v>678515</v>
      </c>
      <c r="AA19" s="8">
        <f t="shared" si="7"/>
        <v>1</v>
      </c>
      <c r="AB19" s="23">
        <v>3085.34</v>
      </c>
      <c r="AC19" s="23">
        <v>70</v>
      </c>
      <c r="AD19" s="23">
        <v>19840</v>
      </c>
      <c r="AE19" s="8">
        <f t="shared" si="8"/>
        <v>71</v>
      </c>
      <c r="AF19" s="23">
        <v>1402</v>
      </c>
      <c r="AG19" s="23">
        <v>70</v>
      </c>
      <c r="AH19" s="36">
        <f t="shared" si="9"/>
        <v>97</v>
      </c>
      <c r="AI19" s="21">
        <f t="shared" si="10"/>
        <v>40.799999999999272</v>
      </c>
      <c r="AJ19" s="22">
        <f t="shared" si="11"/>
        <v>56.200000000000728</v>
      </c>
      <c r="AK19" s="27">
        <f t="shared" si="12"/>
        <v>1155.9000000000306</v>
      </c>
      <c r="AL19" s="40">
        <f t="shared" si="13"/>
        <v>1212.1000000000313</v>
      </c>
    </row>
    <row r="20" spans="1:38" ht="25.5" customHeight="1">
      <c r="A20" s="39" t="s">
        <v>179</v>
      </c>
      <c r="B20" s="23">
        <v>3934.09</v>
      </c>
      <c r="C20" s="23">
        <v>634.4</v>
      </c>
      <c r="D20" s="23">
        <v>2792.44</v>
      </c>
      <c r="E20" s="23">
        <v>490.9</v>
      </c>
      <c r="F20" s="23">
        <v>0.85399999999999998</v>
      </c>
      <c r="G20" s="23">
        <v>0.58899999999999997</v>
      </c>
      <c r="H20" s="23">
        <v>40</v>
      </c>
      <c r="I20" s="5">
        <f t="shared" si="0"/>
        <v>8.4000000000014552</v>
      </c>
      <c r="J20" s="6">
        <f t="shared" si="1"/>
        <v>421.59999999999854</v>
      </c>
      <c r="K20" s="23">
        <v>192991.42</v>
      </c>
      <c r="L20" s="23">
        <v>0.99199999999999999</v>
      </c>
      <c r="M20" s="7">
        <f t="shared" si="2"/>
        <v>101.95999999999185</v>
      </c>
      <c r="N20" s="23">
        <v>94</v>
      </c>
      <c r="O20" s="8">
        <f t="shared" si="3"/>
        <v>0</v>
      </c>
      <c r="P20" s="23">
        <v>605.20000000000005</v>
      </c>
      <c r="Q20" s="23">
        <v>90</v>
      </c>
      <c r="R20" s="23">
        <v>130862.94</v>
      </c>
      <c r="S20" s="23">
        <v>0.86699999999999999</v>
      </c>
      <c r="T20" s="25">
        <f t="shared" si="4"/>
        <v>8.000000000174623E-2</v>
      </c>
      <c r="U20" s="26">
        <f t="shared" si="5"/>
        <v>523.63999999999214</v>
      </c>
      <c r="V20" s="35">
        <v>36</v>
      </c>
      <c r="W20" s="35">
        <v>32</v>
      </c>
      <c r="X20" s="35">
        <v>30</v>
      </c>
      <c r="Y20" s="11">
        <f t="shared" si="6"/>
        <v>98</v>
      </c>
      <c r="Z20" s="23">
        <v>678516</v>
      </c>
      <c r="AA20" s="8">
        <f t="shared" si="7"/>
        <v>0</v>
      </c>
      <c r="AB20" s="23">
        <v>3085.36</v>
      </c>
      <c r="AC20" s="23">
        <v>70</v>
      </c>
      <c r="AD20" s="23">
        <v>19911</v>
      </c>
      <c r="AE20" s="8">
        <f t="shared" si="8"/>
        <v>0</v>
      </c>
      <c r="AF20" s="23">
        <v>1406.9</v>
      </c>
      <c r="AG20" s="23">
        <v>40</v>
      </c>
      <c r="AH20" s="36">
        <f t="shared" si="9"/>
        <v>98</v>
      </c>
      <c r="AI20" s="21">
        <f t="shared" si="10"/>
        <v>8.4000000000014552</v>
      </c>
      <c r="AJ20" s="22">
        <f t="shared" si="11"/>
        <v>89.599999999998545</v>
      </c>
      <c r="AK20" s="27">
        <f t="shared" si="12"/>
        <v>523.63999999999214</v>
      </c>
      <c r="AL20" s="40">
        <f t="shared" si="13"/>
        <v>613.23999999999069</v>
      </c>
    </row>
    <row r="21" spans="1:38" ht="25.5" customHeight="1">
      <c r="A21" s="39" t="s">
        <v>180</v>
      </c>
      <c r="B21" s="23">
        <v>3950.37</v>
      </c>
      <c r="C21" s="23">
        <v>162.80000000000001</v>
      </c>
      <c r="D21" s="23">
        <v>2802.98</v>
      </c>
      <c r="E21" s="23">
        <v>491.11</v>
      </c>
      <c r="F21" s="23">
        <v>0.85399999999999998</v>
      </c>
      <c r="G21" s="23">
        <v>0.57799999999999996</v>
      </c>
      <c r="H21" s="23">
        <v>40</v>
      </c>
      <c r="I21" s="5">
        <f t="shared" si="0"/>
        <v>13.599999999999</v>
      </c>
      <c r="J21" s="6">
        <f t="shared" si="1"/>
        <v>390.39999999999054</v>
      </c>
      <c r="K21" s="23">
        <v>193093.38</v>
      </c>
      <c r="L21" s="23">
        <v>0.99</v>
      </c>
      <c r="M21" s="7">
        <f t="shared" si="2"/>
        <v>103.13000000000466</v>
      </c>
      <c r="N21" s="23">
        <v>94</v>
      </c>
      <c r="O21" s="8">
        <f t="shared" si="3"/>
        <v>0</v>
      </c>
      <c r="P21" s="23">
        <v>605.4</v>
      </c>
      <c r="Q21" s="23">
        <v>90</v>
      </c>
      <c r="R21" s="23">
        <v>130863.02</v>
      </c>
      <c r="S21" s="23">
        <v>0.86799999999999999</v>
      </c>
      <c r="T21" s="25">
        <f t="shared" si="4"/>
        <v>1.0099999999947613</v>
      </c>
      <c r="U21" s="26">
        <f t="shared" si="5"/>
        <v>494.53999999998996</v>
      </c>
      <c r="V21" s="35">
        <v>32</v>
      </c>
      <c r="W21" s="35">
        <v>35</v>
      </c>
      <c r="X21" s="35">
        <v>33</v>
      </c>
      <c r="Y21" s="11">
        <f t="shared" si="6"/>
        <v>100</v>
      </c>
      <c r="Z21" s="23">
        <v>678516</v>
      </c>
      <c r="AA21" s="8">
        <f t="shared" si="7"/>
        <v>0</v>
      </c>
      <c r="AB21" s="23">
        <v>3085.38</v>
      </c>
      <c r="AC21" s="23">
        <v>70</v>
      </c>
      <c r="AD21" s="23">
        <v>19911</v>
      </c>
      <c r="AE21" s="8">
        <f t="shared" si="8"/>
        <v>1</v>
      </c>
      <c r="AF21" s="23">
        <v>1406.9</v>
      </c>
      <c r="AG21" s="23">
        <v>40</v>
      </c>
      <c r="AH21" s="36">
        <f t="shared" si="9"/>
        <v>100</v>
      </c>
      <c r="AI21" s="21">
        <f t="shared" si="10"/>
        <v>13.599999999999</v>
      </c>
      <c r="AJ21" s="22">
        <f t="shared" si="11"/>
        <v>86.400000000001</v>
      </c>
      <c r="AK21" s="27">
        <f t="shared" si="12"/>
        <v>495.53999999998996</v>
      </c>
      <c r="AL21" s="40">
        <f t="shared" si="13"/>
        <v>581.93999999999096</v>
      </c>
    </row>
    <row r="22" spans="1:38" ht="25.5" customHeight="1">
      <c r="A22" s="39" t="s">
        <v>181</v>
      </c>
      <c r="B22" s="23">
        <v>3965.14</v>
      </c>
      <c r="C22" s="23">
        <v>147.69999999999999</v>
      </c>
      <c r="D22" s="23">
        <v>2812.74</v>
      </c>
      <c r="E22" s="23">
        <v>491.45</v>
      </c>
      <c r="F22" s="23">
        <v>0.85299999999999998</v>
      </c>
      <c r="G22" s="23">
        <v>0.57299999999999995</v>
      </c>
      <c r="H22" s="23">
        <v>40</v>
      </c>
      <c r="I22" s="5">
        <f t="shared" si="0"/>
        <v>13.600000000001273</v>
      </c>
      <c r="J22" s="6">
        <f t="shared" si="1"/>
        <v>471.200000000008</v>
      </c>
      <c r="K22" s="23">
        <v>193196.51</v>
      </c>
      <c r="L22" s="23">
        <v>0.995</v>
      </c>
      <c r="M22" s="7">
        <f t="shared" si="2"/>
        <v>102.61999999999534</v>
      </c>
      <c r="N22" s="23">
        <v>94</v>
      </c>
      <c r="O22" s="8">
        <f t="shared" si="3"/>
        <v>0</v>
      </c>
      <c r="P22" s="23">
        <v>605.4</v>
      </c>
      <c r="Q22" s="23">
        <v>90</v>
      </c>
      <c r="R22" s="23">
        <v>130864.03</v>
      </c>
      <c r="S22" s="23">
        <v>0.86799999999999999</v>
      </c>
      <c r="T22" s="25">
        <f t="shared" si="4"/>
        <v>2.9999999998835847E-2</v>
      </c>
      <c r="U22" s="26">
        <f t="shared" si="5"/>
        <v>573.85000000000218</v>
      </c>
      <c r="V22" s="35">
        <v>38</v>
      </c>
      <c r="W22" s="35">
        <v>36</v>
      </c>
      <c r="X22" s="35">
        <v>32</v>
      </c>
      <c r="Y22" s="11">
        <f t="shared" si="6"/>
        <v>106</v>
      </c>
      <c r="Z22" s="23">
        <v>678516</v>
      </c>
      <c r="AA22" s="8">
        <f t="shared" si="7"/>
        <v>307</v>
      </c>
      <c r="AB22" s="23">
        <v>3085.36</v>
      </c>
      <c r="AC22" s="23">
        <v>70</v>
      </c>
      <c r="AD22" s="23">
        <v>19912</v>
      </c>
      <c r="AE22" s="8">
        <f t="shared" si="8"/>
        <v>14</v>
      </c>
      <c r="AF22" s="23">
        <v>1406.9</v>
      </c>
      <c r="AG22" s="23">
        <v>90</v>
      </c>
      <c r="AH22" s="36">
        <f t="shared" si="9"/>
        <v>106</v>
      </c>
      <c r="AI22" s="21">
        <f t="shared" si="10"/>
        <v>13.600000000001273</v>
      </c>
      <c r="AJ22" s="22">
        <f t="shared" si="11"/>
        <v>92.399999999998727</v>
      </c>
      <c r="AK22" s="27">
        <f t="shared" si="12"/>
        <v>894.85000000000218</v>
      </c>
      <c r="AL22" s="40">
        <f t="shared" si="13"/>
        <v>987.25000000000091</v>
      </c>
    </row>
    <row r="23" spans="1:38" ht="25.5" customHeight="1">
      <c r="A23" s="39" t="s">
        <v>182</v>
      </c>
      <c r="B23" s="23">
        <v>3992.75</v>
      </c>
      <c r="C23" s="23">
        <v>276.10000000000002</v>
      </c>
      <c r="D23" s="23">
        <v>2824.52</v>
      </c>
      <c r="E23" s="23">
        <v>491.79</v>
      </c>
      <c r="F23" s="23">
        <v>0.85499999999999998</v>
      </c>
      <c r="G23" s="23">
        <v>0.56499999999999995</v>
      </c>
      <c r="H23" s="23">
        <v>40</v>
      </c>
      <c r="I23" s="5">
        <f t="shared" si="0"/>
        <v>1.5999999999985448</v>
      </c>
      <c r="J23" s="6">
        <f t="shared" si="1"/>
        <v>597.99999999999272</v>
      </c>
      <c r="K23" s="23">
        <v>193299.13</v>
      </c>
      <c r="L23" s="23">
        <v>0.995</v>
      </c>
      <c r="M23" s="7">
        <f t="shared" si="2"/>
        <v>111.5</v>
      </c>
      <c r="N23" s="23">
        <v>94</v>
      </c>
      <c r="O23" s="8">
        <f t="shared" si="3"/>
        <v>0</v>
      </c>
      <c r="P23" s="23">
        <v>605.70000000000005</v>
      </c>
      <c r="Q23" s="23">
        <v>90</v>
      </c>
      <c r="R23" s="23">
        <v>130864.06</v>
      </c>
      <c r="S23" s="23">
        <v>0.86799999999999999</v>
      </c>
      <c r="T23" s="25">
        <f t="shared" si="4"/>
        <v>1.0100000000093132</v>
      </c>
      <c r="U23" s="26">
        <f t="shared" si="5"/>
        <v>710.51000000000204</v>
      </c>
      <c r="V23" s="35">
        <v>30</v>
      </c>
      <c r="W23" s="35">
        <v>32</v>
      </c>
      <c r="X23" s="35">
        <v>33</v>
      </c>
      <c r="Y23" s="11">
        <f t="shared" si="6"/>
        <v>95</v>
      </c>
      <c r="Z23" s="23">
        <v>678823</v>
      </c>
      <c r="AA23" s="8">
        <f t="shared" si="7"/>
        <v>0</v>
      </c>
      <c r="AB23" s="23">
        <v>3086.14</v>
      </c>
      <c r="AC23" s="23">
        <v>60</v>
      </c>
      <c r="AD23" s="23">
        <v>19926</v>
      </c>
      <c r="AE23" s="8">
        <f t="shared" si="8"/>
        <v>12</v>
      </c>
      <c r="AF23" s="23">
        <v>1407.7</v>
      </c>
      <c r="AG23" s="23">
        <v>86</v>
      </c>
      <c r="AH23" s="36">
        <f t="shared" si="9"/>
        <v>95</v>
      </c>
      <c r="AI23" s="21">
        <f t="shared" si="10"/>
        <v>1.5999999999985448</v>
      </c>
      <c r="AJ23" s="22">
        <f t="shared" si="11"/>
        <v>93.400000000001455</v>
      </c>
      <c r="AK23" s="27">
        <f t="shared" si="12"/>
        <v>722.51000000000204</v>
      </c>
      <c r="AL23" s="40">
        <f t="shared" si="13"/>
        <v>815.91000000000349</v>
      </c>
    </row>
    <row r="24" spans="1:38" ht="25.5" customHeight="1">
      <c r="A24" s="39" t="s">
        <v>183</v>
      </c>
      <c r="B24" s="23">
        <v>4024.1</v>
      </c>
      <c r="C24" s="23">
        <v>313.5</v>
      </c>
      <c r="D24" s="23">
        <v>2839.47</v>
      </c>
      <c r="E24" s="23">
        <v>491.83</v>
      </c>
      <c r="F24" s="23">
        <v>0.85499999999999998</v>
      </c>
      <c r="G24" s="23">
        <v>0.56299999999999994</v>
      </c>
      <c r="H24" s="23">
        <v>40</v>
      </c>
      <c r="I24" s="5">
        <f t="shared" si="0"/>
        <v>7.9999999999995453</v>
      </c>
      <c r="J24" s="6">
        <f t="shared" si="1"/>
        <v>555.6000000000131</v>
      </c>
      <c r="K24" s="23">
        <v>193410.63</v>
      </c>
      <c r="L24" s="23">
        <v>0.995</v>
      </c>
      <c r="M24" s="7">
        <f t="shared" si="2"/>
        <v>106.57000000000698</v>
      </c>
      <c r="N24" s="23">
        <v>94</v>
      </c>
      <c r="O24" s="8">
        <f t="shared" si="3"/>
        <v>0</v>
      </c>
      <c r="P24" s="23">
        <v>606.6</v>
      </c>
      <c r="Q24" s="23">
        <v>90</v>
      </c>
      <c r="R24" s="23">
        <v>130865.07</v>
      </c>
      <c r="S24" s="23">
        <v>0.86799999999999999</v>
      </c>
      <c r="T24" s="25">
        <f t="shared" si="4"/>
        <v>1.0199999999895226</v>
      </c>
      <c r="U24" s="26">
        <f t="shared" si="5"/>
        <v>663.1900000000096</v>
      </c>
      <c r="V24" s="35">
        <v>38</v>
      </c>
      <c r="W24" s="35">
        <v>32</v>
      </c>
      <c r="X24" s="35">
        <v>30</v>
      </c>
      <c r="Y24" s="11">
        <f t="shared" si="6"/>
        <v>100</v>
      </c>
      <c r="Z24" s="23">
        <v>678823</v>
      </c>
      <c r="AA24" s="8">
        <f t="shared" si="7"/>
        <v>0</v>
      </c>
      <c r="AB24" s="23">
        <v>308615</v>
      </c>
      <c r="AC24" s="23">
        <v>60</v>
      </c>
      <c r="AD24" s="23">
        <v>19938</v>
      </c>
      <c r="AE24" s="8">
        <f t="shared" si="8"/>
        <v>0</v>
      </c>
      <c r="AF24" s="23">
        <v>1408.2</v>
      </c>
      <c r="AG24" s="23">
        <v>83</v>
      </c>
      <c r="AH24" s="36">
        <f t="shared" si="9"/>
        <v>100</v>
      </c>
      <c r="AI24" s="21">
        <f t="shared" si="10"/>
        <v>7.9999999999995453</v>
      </c>
      <c r="AJ24" s="22">
        <f t="shared" si="11"/>
        <v>92.000000000000455</v>
      </c>
      <c r="AK24" s="27">
        <f t="shared" si="12"/>
        <v>663.1900000000096</v>
      </c>
      <c r="AL24" s="40">
        <f t="shared" si="13"/>
        <v>755.19000000001006</v>
      </c>
    </row>
    <row r="25" spans="1:38" ht="25.5" customHeight="1">
      <c r="A25" s="39" t="s">
        <v>184</v>
      </c>
      <c r="B25" s="23">
        <v>4051.55</v>
      </c>
      <c r="C25" s="23">
        <v>274.5</v>
      </c>
      <c r="D25" s="23">
        <v>2853.36</v>
      </c>
      <c r="E25" s="23">
        <v>492.03</v>
      </c>
      <c r="F25" s="23">
        <v>0.85599999999999998</v>
      </c>
      <c r="G25" s="23">
        <v>0.55800000000000005</v>
      </c>
      <c r="H25" s="23">
        <v>40</v>
      </c>
      <c r="I25" s="5">
        <f t="shared" si="0"/>
        <v>12.000000000000455</v>
      </c>
      <c r="J25" s="6">
        <f t="shared" si="1"/>
        <v>1041.1999999999898</v>
      </c>
      <c r="K25" s="23">
        <v>193517.2</v>
      </c>
      <c r="L25" s="23">
        <v>0.98899999999999999</v>
      </c>
      <c r="M25" s="7">
        <f t="shared" si="2"/>
        <v>253.45999999999185</v>
      </c>
      <c r="N25" s="23">
        <v>94</v>
      </c>
      <c r="O25" s="8">
        <f t="shared" si="3"/>
        <v>0</v>
      </c>
      <c r="P25" s="23">
        <v>607</v>
      </c>
      <c r="Q25" s="23">
        <v>90</v>
      </c>
      <c r="R25" s="23">
        <v>130866.09</v>
      </c>
      <c r="S25" s="23">
        <v>0.86799999999999999</v>
      </c>
      <c r="T25" s="25">
        <f t="shared" si="4"/>
        <v>150.5</v>
      </c>
      <c r="U25" s="26">
        <f t="shared" si="5"/>
        <v>1445.1599999999817</v>
      </c>
      <c r="V25" s="35">
        <v>35</v>
      </c>
      <c r="W25" s="35">
        <v>38</v>
      </c>
      <c r="X25" s="35">
        <v>40</v>
      </c>
      <c r="Y25" s="11">
        <f t="shared" si="6"/>
        <v>113</v>
      </c>
      <c r="Z25" s="23">
        <v>678823</v>
      </c>
      <c r="AA25" s="8">
        <f t="shared" si="7"/>
        <v>0</v>
      </c>
      <c r="AB25" s="23">
        <v>308616</v>
      </c>
      <c r="AC25" s="23">
        <v>60</v>
      </c>
      <c r="AD25" s="23">
        <v>19938</v>
      </c>
      <c r="AE25" s="8">
        <f t="shared" si="8"/>
        <v>1</v>
      </c>
      <c r="AF25" s="23">
        <v>1408.6</v>
      </c>
      <c r="AG25" s="23">
        <v>81</v>
      </c>
      <c r="AH25" s="36">
        <f t="shared" si="9"/>
        <v>113</v>
      </c>
      <c r="AI25" s="21">
        <f t="shared" si="10"/>
        <v>12.000000000000455</v>
      </c>
      <c r="AJ25" s="22">
        <f t="shared" si="11"/>
        <v>100.99999999999955</v>
      </c>
      <c r="AK25" s="27">
        <f t="shared" si="12"/>
        <v>1446.1599999999817</v>
      </c>
      <c r="AL25" s="40">
        <f t="shared" si="13"/>
        <v>1547.1599999999812</v>
      </c>
    </row>
    <row r="26" spans="1:38" ht="25.5" customHeight="1">
      <c r="A26" s="39" t="s">
        <v>185</v>
      </c>
      <c r="B26" s="23">
        <v>4106.68</v>
      </c>
      <c r="C26" s="23">
        <v>551.29999999999995</v>
      </c>
      <c r="D26" s="23">
        <v>2879.39</v>
      </c>
      <c r="E26" s="23">
        <v>492.33</v>
      </c>
      <c r="F26" s="23">
        <v>0.85599999999999998</v>
      </c>
      <c r="G26" s="23">
        <v>0.54800000000000004</v>
      </c>
      <c r="H26" s="23">
        <v>40</v>
      </c>
      <c r="I26" s="5">
        <f t="shared" si="0"/>
        <v>7.9999999999995453</v>
      </c>
      <c r="J26" s="6">
        <f t="shared" si="1"/>
        <v>22.000000000007276</v>
      </c>
      <c r="K26" s="23">
        <v>193770.66</v>
      </c>
      <c r="L26" s="23">
        <v>0.98899999999999999</v>
      </c>
      <c r="M26" s="7">
        <f t="shared" si="2"/>
        <v>122.29999999998836</v>
      </c>
      <c r="N26" s="23">
        <v>94</v>
      </c>
      <c r="O26" s="8">
        <f t="shared" si="3"/>
        <v>0</v>
      </c>
      <c r="P26" s="23">
        <v>607.29999999999995</v>
      </c>
      <c r="Q26" s="23">
        <v>86</v>
      </c>
      <c r="R26" s="23">
        <v>131016.59</v>
      </c>
      <c r="S26" s="23">
        <v>0.86</v>
      </c>
      <c r="T26" s="25">
        <f t="shared" si="4"/>
        <v>0</v>
      </c>
      <c r="U26" s="26">
        <f t="shared" si="5"/>
        <v>144.29999999999563</v>
      </c>
      <c r="V26" s="35">
        <v>40</v>
      </c>
      <c r="W26" s="35">
        <v>43</v>
      </c>
      <c r="X26" s="35">
        <v>48</v>
      </c>
      <c r="Y26" s="11">
        <f t="shared" si="6"/>
        <v>131</v>
      </c>
      <c r="Z26" s="23">
        <v>678823</v>
      </c>
      <c r="AA26" s="8">
        <f t="shared" si="7"/>
        <v>0</v>
      </c>
      <c r="AB26" s="23">
        <v>308617</v>
      </c>
      <c r="AC26" s="23">
        <v>60</v>
      </c>
      <c r="AD26" s="23">
        <v>19939</v>
      </c>
      <c r="AE26" s="8">
        <f t="shared" si="8"/>
        <v>3</v>
      </c>
      <c r="AF26" s="23">
        <v>1408.6</v>
      </c>
      <c r="AG26" s="23">
        <v>80</v>
      </c>
      <c r="AH26" s="36">
        <f t="shared" si="9"/>
        <v>131</v>
      </c>
      <c r="AI26" s="21">
        <f t="shared" si="10"/>
        <v>7.9999999999995453</v>
      </c>
      <c r="AJ26" s="22">
        <f t="shared" si="11"/>
        <v>123.00000000000045</v>
      </c>
      <c r="AK26" s="27">
        <f t="shared" si="12"/>
        <v>147.29999999999563</v>
      </c>
      <c r="AL26" s="40">
        <f t="shared" si="13"/>
        <v>270.29999999999609</v>
      </c>
    </row>
    <row r="27" spans="1:38" ht="25.5" customHeight="1">
      <c r="A27" s="39" t="s">
        <v>186</v>
      </c>
      <c r="B27" s="23">
        <v>4134.37</v>
      </c>
      <c r="C27" s="23">
        <v>276.89999999999998</v>
      </c>
      <c r="D27" s="23">
        <v>2879.94</v>
      </c>
      <c r="E27" s="23">
        <v>492.53</v>
      </c>
      <c r="F27" s="23">
        <v>0.85599999999999998</v>
      </c>
      <c r="G27" s="23">
        <v>0.54600000000000004</v>
      </c>
      <c r="H27" s="23">
        <v>40</v>
      </c>
      <c r="I27" s="5">
        <f t="shared" si="0"/>
        <v>10.40000000000191</v>
      </c>
      <c r="J27" s="6">
        <f t="shared" si="1"/>
        <v>1079.5999999999913</v>
      </c>
      <c r="K27" s="23">
        <v>193892.96</v>
      </c>
      <c r="L27" s="23">
        <v>0.98899999999999999</v>
      </c>
      <c r="M27" s="7">
        <f t="shared" si="2"/>
        <v>113.57000000000698</v>
      </c>
      <c r="N27" s="23">
        <v>94</v>
      </c>
      <c r="O27" s="8">
        <f t="shared" si="3"/>
        <v>0</v>
      </c>
      <c r="P27" s="23">
        <v>607.6</v>
      </c>
      <c r="Q27" s="23">
        <v>86</v>
      </c>
      <c r="R27" s="23">
        <v>131016.59</v>
      </c>
      <c r="S27" s="23">
        <v>0.86</v>
      </c>
      <c r="T27" s="25">
        <f t="shared" si="4"/>
        <v>0</v>
      </c>
      <c r="U27" s="26">
        <f t="shared" si="5"/>
        <v>1193.1699999999983</v>
      </c>
      <c r="V27" s="35">
        <v>43</v>
      </c>
      <c r="W27" s="35">
        <v>48</v>
      </c>
      <c r="X27" s="35">
        <v>45</v>
      </c>
      <c r="Y27" s="11">
        <f t="shared" si="6"/>
        <v>136</v>
      </c>
      <c r="Z27" s="23">
        <v>678823</v>
      </c>
      <c r="AA27" s="8">
        <f t="shared" si="7"/>
        <v>0</v>
      </c>
      <c r="AB27" s="23">
        <v>308617</v>
      </c>
      <c r="AC27" s="23">
        <v>60</v>
      </c>
      <c r="AD27" s="23">
        <v>19942</v>
      </c>
      <c r="AE27" s="8">
        <f t="shared" si="8"/>
        <v>3</v>
      </c>
      <c r="AF27" s="23">
        <v>1409</v>
      </c>
      <c r="AG27" s="23">
        <v>78</v>
      </c>
      <c r="AH27" s="36">
        <f t="shared" si="9"/>
        <v>136</v>
      </c>
      <c r="AI27" s="21">
        <f t="shared" si="10"/>
        <v>10.40000000000191</v>
      </c>
      <c r="AJ27" s="22">
        <f t="shared" si="11"/>
        <v>125.59999999999809</v>
      </c>
      <c r="AK27" s="27">
        <f t="shared" si="12"/>
        <v>1196.1699999999983</v>
      </c>
      <c r="AL27" s="40">
        <f t="shared" si="13"/>
        <v>1321.7699999999963</v>
      </c>
    </row>
    <row r="28" spans="1:38" ht="25.5" customHeight="1">
      <c r="A28" s="39" t="s">
        <v>187</v>
      </c>
      <c r="B28" s="23">
        <v>4167.08</v>
      </c>
      <c r="C28" s="23">
        <v>327.10000000000002</v>
      </c>
      <c r="D28" s="23">
        <v>2906.93</v>
      </c>
      <c r="E28" s="23">
        <v>492.79</v>
      </c>
      <c r="F28" s="23">
        <v>0.85699999999999998</v>
      </c>
      <c r="G28" s="23">
        <v>0.54400000000000004</v>
      </c>
      <c r="H28" s="23">
        <v>40</v>
      </c>
      <c r="I28" s="5">
        <f t="shared" si="0"/>
        <v>9.1999999999984539</v>
      </c>
      <c r="J28" s="6">
        <f t="shared" si="1"/>
        <v>508.00000000001091</v>
      </c>
      <c r="K28" s="23">
        <v>194006.53</v>
      </c>
      <c r="L28" s="23">
        <v>0.99</v>
      </c>
      <c r="M28" s="7">
        <f t="shared" si="2"/>
        <v>143.26999999998952</v>
      </c>
      <c r="N28" s="23">
        <v>94</v>
      </c>
      <c r="O28" s="8">
        <f t="shared" si="3"/>
        <v>0</v>
      </c>
      <c r="P28" s="23">
        <v>607.9</v>
      </c>
      <c r="Q28" s="23">
        <v>78</v>
      </c>
      <c r="R28" s="23">
        <v>131016.59</v>
      </c>
      <c r="S28" s="23">
        <v>0.86</v>
      </c>
      <c r="T28" s="25">
        <f t="shared" si="4"/>
        <v>0</v>
      </c>
      <c r="U28" s="26">
        <f t="shared" si="5"/>
        <v>651.27000000000044</v>
      </c>
      <c r="V28" s="35">
        <v>45</v>
      </c>
      <c r="W28" s="35">
        <v>47</v>
      </c>
      <c r="X28" s="35">
        <v>43</v>
      </c>
      <c r="Y28" s="11">
        <f t="shared" si="6"/>
        <v>135</v>
      </c>
      <c r="Z28" s="23">
        <v>678823</v>
      </c>
      <c r="AA28" s="8">
        <f t="shared" si="7"/>
        <v>0</v>
      </c>
      <c r="AB28" s="23">
        <v>308620</v>
      </c>
      <c r="AC28" s="23">
        <v>60</v>
      </c>
      <c r="AD28" s="23">
        <v>19945</v>
      </c>
      <c r="AE28" s="8">
        <f t="shared" si="8"/>
        <v>1</v>
      </c>
      <c r="AF28" s="23">
        <v>1409.2</v>
      </c>
      <c r="AG28" s="23">
        <v>77</v>
      </c>
      <c r="AH28" s="36">
        <f t="shared" si="9"/>
        <v>135</v>
      </c>
      <c r="AI28" s="21">
        <f t="shared" si="10"/>
        <v>9.1999999999984539</v>
      </c>
      <c r="AJ28" s="22">
        <f t="shared" si="11"/>
        <v>125.80000000000155</v>
      </c>
      <c r="AK28" s="27">
        <f t="shared" si="12"/>
        <v>652.27000000000044</v>
      </c>
      <c r="AL28" s="40">
        <f t="shared" si="13"/>
        <v>778.07000000000198</v>
      </c>
    </row>
    <row r="29" spans="1:38" ht="25.5" customHeight="1">
      <c r="A29" s="39" t="s">
        <v>188</v>
      </c>
      <c r="B29" s="23">
        <v>4198.2</v>
      </c>
      <c r="C29" s="23">
        <v>311.2</v>
      </c>
      <c r="D29" s="23">
        <v>2919.63</v>
      </c>
      <c r="E29" s="23">
        <v>493.02</v>
      </c>
      <c r="F29" s="23">
        <v>0.85699999999999998</v>
      </c>
      <c r="G29" s="23">
        <v>0.53800000000000003</v>
      </c>
      <c r="H29" s="23">
        <v>40</v>
      </c>
      <c r="I29" s="5">
        <f t="shared" si="0"/>
        <v>1.2000000000011823</v>
      </c>
      <c r="J29" s="6">
        <f t="shared" si="1"/>
        <v>564.79999999999563</v>
      </c>
      <c r="K29" s="23">
        <v>194149.8</v>
      </c>
      <c r="L29" s="23">
        <v>0.99</v>
      </c>
      <c r="M29" s="7">
        <f t="shared" si="2"/>
        <v>118.94000000000233</v>
      </c>
      <c r="N29" s="23">
        <v>94</v>
      </c>
      <c r="O29" s="8">
        <f t="shared" si="3"/>
        <v>0</v>
      </c>
      <c r="P29" s="23">
        <v>607.9</v>
      </c>
      <c r="Q29" s="23">
        <v>78</v>
      </c>
      <c r="R29" s="23">
        <v>131016.59</v>
      </c>
      <c r="S29" s="23">
        <v>0.86</v>
      </c>
      <c r="T29" s="25">
        <f t="shared" si="4"/>
        <v>0</v>
      </c>
      <c r="U29" s="26">
        <f t="shared" si="5"/>
        <v>683.73999999999796</v>
      </c>
      <c r="V29" s="35">
        <v>38</v>
      </c>
      <c r="W29" s="35">
        <v>32</v>
      </c>
      <c r="X29" s="35">
        <v>36</v>
      </c>
      <c r="Y29" s="11">
        <f t="shared" si="6"/>
        <v>106</v>
      </c>
      <c r="Z29" s="23">
        <v>678823</v>
      </c>
      <c r="AA29" s="8">
        <f t="shared" si="7"/>
        <v>0</v>
      </c>
      <c r="AB29" s="23">
        <v>308620</v>
      </c>
      <c r="AC29" s="23">
        <v>60</v>
      </c>
      <c r="AD29" s="23">
        <v>19946</v>
      </c>
      <c r="AE29" s="8">
        <f t="shared" si="8"/>
        <v>10</v>
      </c>
      <c r="AF29" s="23">
        <v>1409.3</v>
      </c>
      <c r="AG29" s="23">
        <v>77</v>
      </c>
      <c r="AH29" s="36">
        <f t="shared" si="9"/>
        <v>106</v>
      </c>
      <c r="AI29" s="21">
        <f t="shared" si="10"/>
        <v>1.2000000000011823</v>
      </c>
      <c r="AJ29" s="22">
        <f t="shared" si="11"/>
        <v>104.79999999999882</v>
      </c>
      <c r="AK29" s="27">
        <f t="shared" si="12"/>
        <v>693.73999999999796</v>
      </c>
      <c r="AL29" s="40">
        <f t="shared" si="13"/>
        <v>798.53999999999678</v>
      </c>
    </row>
    <row r="30" spans="1:38" ht="25.5" customHeight="1">
      <c r="A30" s="41" t="s">
        <v>189</v>
      </c>
      <c r="B30" s="42">
        <v>4227.8</v>
      </c>
      <c r="C30" s="42">
        <v>296</v>
      </c>
      <c r="D30" s="42">
        <v>2933.75</v>
      </c>
      <c r="E30" s="42">
        <v>493.05</v>
      </c>
      <c r="F30" s="42">
        <v>0.88400000000000001</v>
      </c>
      <c r="G30" s="42">
        <v>0.53100000000000003</v>
      </c>
      <c r="H30" s="42">
        <v>40</v>
      </c>
      <c r="I30" s="5"/>
      <c r="J30" s="43"/>
      <c r="K30" s="42">
        <v>194268.74</v>
      </c>
      <c r="L30" s="42">
        <v>0.99</v>
      </c>
      <c r="M30" s="7"/>
      <c r="N30" s="42">
        <v>94</v>
      </c>
      <c r="O30" s="8"/>
      <c r="P30" s="42">
        <v>608.4</v>
      </c>
      <c r="Q30" s="42">
        <v>75</v>
      </c>
      <c r="R30" s="42">
        <v>131016.59</v>
      </c>
      <c r="S30" s="42">
        <v>0.86</v>
      </c>
      <c r="T30" s="44"/>
      <c r="U30" s="45"/>
      <c r="V30" s="32"/>
      <c r="W30" s="32"/>
      <c r="X30" s="32"/>
      <c r="Y30" s="46"/>
      <c r="Z30" s="42">
        <v>678823</v>
      </c>
      <c r="AA30" s="8"/>
      <c r="AB30" s="42">
        <v>308623</v>
      </c>
      <c r="AC30" s="42">
        <v>60</v>
      </c>
      <c r="AD30" s="42">
        <v>19956</v>
      </c>
      <c r="AE30" s="8"/>
      <c r="AF30" s="42">
        <v>1409.9</v>
      </c>
      <c r="AG30" s="42">
        <v>71</v>
      </c>
      <c r="AH30" s="36">
        <f t="shared" si="9"/>
        <v>0</v>
      </c>
      <c r="AI30" s="47"/>
      <c r="AJ30" s="48"/>
      <c r="AK30" s="49"/>
      <c r="AL30" s="50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3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23" t="s">
        <v>161</v>
      </c>
      <c r="B3" s="23">
        <v>12.125</v>
      </c>
      <c r="C3" s="23">
        <v>108.1</v>
      </c>
      <c r="D3" s="23">
        <v>858.04</v>
      </c>
      <c r="E3" s="23">
        <v>245.49</v>
      </c>
      <c r="F3" s="23">
        <v>0.70799999999999996</v>
      </c>
      <c r="G3" s="23">
        <v>0.59</v>
      </c>
      <c r="H3" s="23">
        <v>40</v>
      </c>
      <c r="I3" s="5">
        <f t="shared" ref="I3:I29" si="0">(E4-E3)*40</f>
        <v>58.799999999999955</v>
      </c>
      <c r="J3" s="6">
        <f t="shared" ref="J3:J29" si="1">(D4-D3)*40</f>
        <v>247.60000000000218</v>
      </c>
      <c r="K3" s="23">
        <v>77116.850000000006</v>
      </c>
      <c r="L3" s="23">
        <v>0.98399999999999999</v>
      </c>
      <c r="M3" s="7">
        <f t="shared" ref="M3:M29" si="2">(K4-K3)</f>
        <v>4</v>
      </c>
      <c r="N3" s="23">
        <v>78</v>
      </c>
      <c r="O3" s="8">
        <f t="shared" ref="O3:O29" si="3">(N4-N3)</f>
        <v>0</v>
      </c>
      <c r="P3" s="23">
        <v>514</v>
      </c>
      <c r="Q3" s="23">
        <v>0</v>
      </c>
      <c r="R3" s="23">
        <v>127595.51</v>
      </c>
      <c r="S3" s="23">
        <v>0.91800000000000004</v>
      </c>
      <c r="T3" s="9">
        <f t="shared" ref="T3:T29" si="4">(R4-R3)</f>
        <v>0</v>
      </c>
      <c r="U3" s="10">
        <f t="shared" ref="U3:U29" si="5">(J3+M3+O3+T3)</f>
        <v>251.60000000000218</v>
      </c>
      <c r="V3" s="35">
        <v>71</v>
      </c>
      <c r="W3" s="35">
        <v>80</v>
      </c>
      <c r="X3" s="35">
        <v>75</v>
      </c>
      <c r="Y3" s="11">
        <f t="shared" ref="Y3:Y30" si="6">SUM(V3:X3)</f>
        <v>226</v>
      </c>
      <c r="Z3" s="23">
        <v>65.853399999999993</v>
      </c>
      <c r="AA3" s="8">
        <f t="shared" ref="AA3:AA29" si="7">(Z4-Z3)</f>
        <v>0</v>
      </c>
      <c r="AB3" s="23">
        <v>3034.12</v>
      </c>
      <c r="AC3" s="23">
        <v>0</v>
      </c>
      <c r="AD3" s="23">
        <v>18687</v>
      </c>
      <c r="AE3" s="8">
        <f t="shared" ref="AE3:AE29" si="8">(AD4-AD3)</f>
        <v>0</v>
      </c>
      <c r="AF3" s="23">
        <v>1263.9000000000001</v>
      </c>
      <c r="AG3" s="23">
        <v>0</v>
      </c>
      <c r="AH3" s="36">
        <f t="shared" ref="AH3:AH30" si="9">Y3</f>
        <v>226</v>
      </c>
      <c r="AI3" s="21">
        <f t="shared" ref="AI3:AI30" si="10">I3</f>
        <v>58.799999999999955</v>
      </c>
      <c r="AJ3" s="22">
        <f t="shared" ref="AJ3:AJ30" si="11">(AH3-AI3)</f>
        <v>167.20000000000005</v>
      </c>
      <c r="AK3" s="17">
        <f t="shared" ref="AK3:AK30" si="12">(U3+AA3+AE3)</f>
        <v>251.60000000000218</v>
      </c>
      <c r="AL3" s="30">
        <f t="shared" ref="AL3:AL30" si="13">(AJ3+AK3)</f>
        <v>418.80000000000223</v>
      </c>
    </row>
    <row r="4" spans="1:38" ht="25.5" customHeight="1">
      <c r="A4" s="23" t="s">
        <v>190</v>
      </c>
      <c r="B4" s="35">
        <v>12.218999999999999</v>
      </c>
      <c r="C4" s="35">
        <v>94.1</v>
      </c>
      <c r="D4" s="23">
        <v>864.23</v>
      </c>
      <c r="E4" s="23">
        <v>246.96</v>
      </c>
      <c r="F4" s="23">
        <v>0.77900000000000003</v>
      </c>
      <c r="G4" s="23">
        <v>0.66500000000000004</v>
      </c>
      <c r="H4" s="23">
        <v>40</v>
      </c>
      <c r="I4" s="5">
        <f t="shared" si="0"/>
        <v>101.59999999999968</v>
      </c>
      <c r="J4" s="6">
        <f t="shared" si="1"/>
        <v>173.19999999999709</v>
      </c>
      <c r="K4" s="23">
        <v>77120.850000000006</v>
      </c>
      <c r="L4" s="23">
        <v>0.98699999999999999</v>
      </c>
      <c r="M4" s="7">
        <f t="shared" si="2"/>
        <v>5</v>
      </c>
      <c r="N4" s="35">
        <v>78</v>
      </c>
      <c r="O4" s="8">
        <f t="shared" si="3"/>
        <v>0</v>
      </c>
      <c r="P4" s="23">
        <v>514</v>
      </c>
      <c r="Q4" s="23">
        <v>0</v>
      </c>
      <c r="R4" s="23">
        <v>127595.51</v>
      </c>
      <c r="S4" s="23">
        <v>0.91800000000000004</v>
      </c>
      <c r="T4" s="9">
        <f t="shared" si="4"/>
        <v>0</v>
      </c>
      <c r="U4" s="10">
        <f t="shared" si="5"/>
        <v>178.19999999999709</v>
      </c>
      <c r="V4" s="35">
        <v>93</v>
      </c>
      <c r="W4" s="35">
        <v>101</v>
      </c>
      <c r="X4" s="35">
        <v>98</v>
      </c>
      <c r="Y4" s="11">
        <f t="shared" si="6"/>
        <v>292</v>
      </c>
      <c r="Z4" s="23">
        <v>65.853399999999993</v>
      </c>
      <c r="AA4" s="8">
        <f t="shared" si="7"/>
        <v>0</v>
      </c>
      <c r="AB4" s="23">
        <v>3034.13</v>
      </c>
      <c r="AC4" s="23">
        <v>0</v>
      </c>
      <c r="AD4" s="23">
        <v>18687</v>
      </c>
      <c r="AE4" s="8">
        <f t="shared" si="8"/>
        <v>1</v>
      </c>
      <c r="AF4" s="23">
        <v>1263.9000000000001</v>
      </c>
      <c r="AG4" s="23">
        <v>0</v>
      </c>
      <c r="AH4" s="36">
        <f t="shared" si="9"/>
        <v>292</v>
      </c>
      <c r="AI4" s="21">
        <f t="shared" si="10"/>
        <v>101.59999999999968</v>
      </c>
      <c r="AJ4" s="22">
        <f t="shared" si="11"/>
        <v>190.40000000000032</v>
      </c>
      <c r="AK4" s="17">
        <f t="shared" si="12"/>
        <v>179.19999999999709</v>
      </c>
      <c r="AL4" s="30">
        <f t="shared" si="13"/>
        <v>369.59999999999741</v>
      </c>
    </row>
    <row r="5" spans="1:38" ht="25.5" customHeight="1">
      <c r="A5" s="23" t="s">
        <v>191</v>
      </c>
      <c r="B5" s="35">
        <v>12.291</v>
      </c>
      <c r="C5" s="35">
        <v>72.099999999999994</v>
      </c>
      <c r="D5" s="23">
        <v>868.56</v>
      </c>
      <c r="E5" s="23">
        <v>249.5</v>
      </c>
      <c r="F5" s="23">
        <v>0.72399999999999998</v>
      </c>
      <c r="G5" s="23">
        <v>0.61</v>
      </c>
      <c r="H5" s="23">
        <v>40</v>
      </c>
      <c r="I5" s="5">
        <f t="shared" si="0"/>
        <v>9.6000000000003638</v>
      </c>
      <c r="J5" s="6">
        <f t="shared" si="1"/>
        <v>230.80000000000382</v>
      </c>
      <c r="K5" s="23">
        <v>77125.850000000006</v>
      </c>
      <c r="L5" s="23">
        <v>0.98699999999999999</v>
      </c>
      <c r="M5" s="7">
        <f t="shared" si="2"/>
        <v>9.75</v>
      </c>
      <c r="N5" s="35">
        <v>78</v>
      </c>
      <c r="O5" s="8">
        <f t="shared" si="3"/>
        <v>0</v>
      </c>
      <c r="P5" s="23">
        <v>514</v>
      </c>
      <c r="Q5" s="23">
        <v>0</v>
      </c>
      <c r="R5" s="23">
        <v>127595.51</v>
      </c>
      <c r="S5" s="23">
        <v>0.91800000000000004</v>
      </c>
      <c r="T5" s="9">
        <f t="shared" si="4"/>
        <v>0</v>
      </c>
      <c r="U5" s="10">
        <f t="shared" si="5"/>
        <v>240.55000000000382</v>
      </c>
      <c r="V5" s="35">
        <v>48</v>
      </c>
      <c r="W5" s="35">
        <v>49</v>
      </c>
      <c r="X5" s="35">
        <v>41</v>
      </c>
      <c r="Y5" s="11">
        <f t="shared" si="6"/>
        <v>138</v>
      </c>
      <c r="Z5" s="23">
        <v>65.853399999999993</v>
      </c>
      <c r="AA5" s="8">
        <f t="shared" si="7"/>
        <v>0</v>
      </c>
      <c r="AB5" s="23">
        <v>3034.15</v>
      </c>
      <c r="AC5" s="23">
        <v>0</v>
      </c>
      <c r="AD5" s="23">
        <v>18688</v>
      </c>
      <c r="AE5" s="8">
        <f t="shared" si="8"/>
        <v>0</v>
      </c>
      <c r="AF5" s="23">
        <v>1264</v>
      </c>
      <c r="AG5" s="23">
        <v>0</v>
      </c>
      <c r="AH5" s="36">
        <f t="shared" si="9"/>
        <v>138</v>
      </c>
      <c r="AI5" s="21">
        <f t="shared" si="10"/>
        <v>9.6000000000003638</v>
      </c>
      <c r="AJ5" s="22">
        <f t="shared" si="11"/>
        <v>128.39999999999964</v>
      </c>
      <c r="AK5" s="17">
        <f t="shared" si="12"/>
        <v>240.55000000000382</v>
      </c>
      <c r="AL5" s="30">
        <f t="shared" si="13"/>
        <v>368.95000000000346</v>
      </c>
    </row>
    <row r="6" spans="1:38" ht="25.5" customHeight="1">
      <c r="A6" s="23" t="s">
        <v>192</v>
      </c>
      <c r="B6" s="35">
        <v>12.353999999999999</v>
      </c>
      <c r="C6" s="35">
        <v>63</v>
      </c>
      <c r="D6" s="23">
        <v>874.33</v>
      </c>
      <c r="E6" s="23">
        <v>249.74</v>
      </c>
      <c r="F6" s="23">
        <v>0.70899999999999996</v>
      </c>
      <c r="G6" s="23">
        <v>0.55000000000000004</v>
      </c>
      <c r="H6" s="23">
        <v>40</v>
      </c>
      <c r="I6" s="5">
        <f t="shared" si="0"/>
        <v>2.7999999999997272</v>
      </c>
      <c r="J6" s="6">
        <f t="shared" si="1"/>
        <v>289.60000000000036</v>
      </c>
      <c r="K6" s="23">
        <v>77135.600000000006</v>
      </c>
      <c r="L6" s="23">
        <v>0.98699999999999999</v>
      </c>
      <c r="M6" s="7">
        <f t="shared" si="2"/>
        <v>7.6399999999994179</v>
      </c>
      <c r="N6" s="23">
        <v>78</v>
      </c>
      <c r="O6" s="8">
        <f t="shared" si="3"/>
        <v>0</v>
      </c>
      <c r="P6" s="23">
        <v>514</v>
      </c>
      <c r="Q6" s="23">
        <v>0</v>
      </c>
      <c r="R6" s="23">
        <v>127595.51</v>
      </c>
      <c r="S6" s="23">
        <v>0.91800000000000004</v>
      </c>
      <c r="T6" s="9">
        <f t="shared" si="4"/>
        <v>0</v>
      </c>
      <c r="U6" s="10">
        <f t="shared" si="5"/>
        <v>297.23999999999978</v>
      </c>
      <c r="V6" s="35">
        <v>19</v>
      </c>
      <c r="W6" s="35">
        <v>20</v>
      </c>
      <c r="X6" s="35">
        <v>17</v>
      </c>
      <c r="Y6" s="11">
        <f t="shared" si="6"/>
        <v>56</v>
      </c>
      <c r="Z6" s="23">
        <v>65.853399999999993</v>
      </c>
      <c r="AA6" s="8">
        <f t="shared" si="7"/>
        <v>0</v>
      </c>
      <c r="AB6" s="23">
        <v>3034.15</v>
      </c>
      <c r="AC6" s="23">
        <v>0</v>
      </c>
      <c r="AD6" s="23">
        <v>18688</v>
      </c>
      <c r="AE6" s="8">
        <f t="shared" si="8"/>
        <v>6</v>
      </c>
      <c r="AF6" s="23">
        <v>1264</v>
      </c>
      <c r="AG6" s="23">
        <v>0</v>
      </c>
      <c r="AH6" s="36">
        <f t="shared" si="9"/>
        <v>56</v>
      </c>
      <c r="AI6" s="21">
        <f t="shared" si="10"/>
        <v>2.7999999999997272</v>
      </c>
      <c r="AJ6" s="22">
        <f t="shared" si="11"/>
        <v>53.200000000000273</v>
      </c>
      <c r="AK6" s="17">
        <f t="shared" si="12"/>
        <v>303.23999999999978</v>
      </c>
      <c r="AL6" s="30">
        <f t="shared" si="13"/>
        <v>356.44000000000005</v>
      </c>
    </row>
    <row r="7" spans="1:38" ht="25.5" customHeight="1">
      <c r="A7" s="23" t="s">
        <v>193</v>
      </c>
      <c r="B7" s="35">
        <v>12.401999999999999</v>
      </c>
      <c r="C7" s="35">
        <v>48.8</v>
      </c>
      <c r="D7" s="23">
        <v>881.57</v>
      </c>
      <c r="E7" s="23">
        <v>249.81</v>
      </c>
      <c r="F7" s="23">
        <v>0.71399999999999997</v>
      </c>
      <c r="G7" s="23">
        <v>0.54200000000000004</v>
      </c>
      <c r="H7" s="23">
        <v>40</v>
      </c>
      <c r="I7" s="5">
        <f t="shared" si="0"/>
        <v>52.400000000000091</v>
      </c>
      <c r="J7" s="6">
        <f t="shared" si="1"/>
        <v>611.99999999999818</v>
      </c>
      <c r="K7" s="23">
        <v>77143.240000000005</v>
      </c>
      <c r="L7" s="23">
        <v>0.98699999999999999</v>
      </c>
      <c r="M7" s="7">
        <f t="shared" si="2"/>
        <v>69.379999999990105</v>
      </c>
      <c r="N7" s="23">
        <v>78</v>
      </c>
      <c r="O7" s="8">
        <f t="shared" si="3"/>
        <v>0</v>
      </c>
      <c r="P7" s="23">
        <v>514</v>
      </c>
      <c r="Q7" s="23">
        <v>0</v>
      </c>
      <c r="R7" s="23">
        <v>127595.51</v>
      </c>
      <c r="S7" s="23">
        <v>0.91800000000000004</v>
      </c>
      <c r="T7" s="9">
        <f t="shared" si="4"/>
        <v>0</v>
      </c>
      <c r="U7" s="10">
        <f t="shared" si="5"/>
        <v>681.37999999998829</v>
      </c>
      <c r="V7" s="35">
        <v>35</v>
      </c>
      <c r="W7" s="35">
        <v>36</v>
      </c>
      <c r="X7" s="35">
        <v>30</v>
      </c>
      <c r="Y7" s="11">
        <f t="shared" si="6"/>
        <v>101</v>
      </c>
      <c r="Z7" s="23">
        <v>65.853399999999993</v>
      </c>
      <c r="AA7" s="8">
        <f t="shared" si="7"/>
        <v>9.7200000000000841E-2</v>
      </c>
      <c r="AB7" s="23">
        <v>3034.24</v>
      </c>
      <c r="AC7" s="23">
        <v>0</v>
      </c>
      <c r="AD7" s="23">
        <v>18694</v>
      </c>
      <c r="AE7" s="8">
        <f t="shared" si="8"/>
        <v>75</v>
      </c>
      <c r="AF7" s="23">
        <v>1264.5</v>
      </c>
      <c r="AG7" s="23">
        <v>0</v>
      </c>
      <c r="AH7" s="36">
        <f t="shared" si="9"/>
        <v>101</v>
      </c>
      <c r="AI7" s="21">
        <f t="shared" si="10"/>
        <v>52.400000000000091</v>
      </c>
      <c r="AJ7" s="22">
        <f t="shared" si="11"/>
        <v>48.599999999999909</v>
      </c>
      <c r="AK7" s="17">
        <f t="shared" si="12"/>
        <v>756.47719999998833</v>
      </c>
      <c r="AL7" s="30">
        <f t="shared" si="13"/>
        <v>805.07719999998824</v>
      </c>
    </row>
    <row r="8" spans="1:38" ht="25.5" customHeight="1">
      <c r="A8" s="23" t="s">
        <v>194</v>
      </c>
      <c r="B8" s="35">
        <v>12.6471</v>
      </c>
      <c r="C8" s="35">
        <v>244.1</v>
      </c>
      <c r="D8" s="23">
        <v>896.87</v>
      </c>
      <c r="E8" s="23">
        <v>251.12</v>
      </c>
      <c r="F8" s="23">
        <v>0.72599999999999998</v>
      </c>
      <c r="G8" s="23">
        <v>0.53200000000000003</v>
      </c>
      <c r="H8" s="23">
        <v>40</v>
      </c>
      <c r="I8" s="5">
        <f t="shared" si="0"/>
        <v>6.0000000000002274</v>
      </c>
      <c r="J8" s="6">
        <f t="shared" si="1"/>
        <v>288.80000000000109</v>
      </c>
      <c r="K8" s="23">
        <v>77212.62</v>
      </c>
      <c r="L8" s="23">
        <v>0.98699999999999999</v>
      </c>
      <c r="M8" s="7">
        <f t="shared" si="2"/>
        <v>8</v>
      </c>
      <c r="N8" s="23">
        <v>78</v>
      </c>
      <c r="O8" s="8">
        <f t="shared" si="3"/>
        <v>0</v>
      </c>
      <c r="P8" s="23">
        <v>519.70000000000005</v>
      </c>
      <c r="Q8" s="23">
        <v>0</v>
      </c>
      <c r="R8" s="23">
        <v>127595.51</v>
      </c>
      <c r="S8" s="23">
        <v>0.91800000000000004</v>
      </c>
      <c r="T8" s="9">
        <f t="shared" si="4"/>
        <v>0</v>
      </c>
      <c r="U8" s="10">
        <f t="shared" si="5"/>
        <v>296.80000000000109</v>
      </c>
      <c r="V8" s="35">
        <v>49</v>
      </c>
      <c r="W8" s="35">
        <v>51</v>
      </c>
      <c r="X8" s="35">
        <v>43</v>
      </c>
      <c r="Y8" s="11">
        <f t="shared" si="6"/>
        <v>143</v>
      </c>
      <c r="Z8" s="23">
        <v>65.950599999999994</v>
      </c>
      <c r="AA8" s="8">
        <f t="shared" si="7"/>
        <v>0</v>
      </c>
      <c r="AB8" s="23">
        <v>3037.53</v>
      </c>
      <c r="AC8" s="23">
        <v>0</v>
      </c>
      <c r="AD8" s="23">
        <v>18769</v>
      </c>
      <c r="AE8" s="8">
        <f t="shared" si="8"/>
        <v>2</v>
      </c>
      <c r="AF8" s="23">
        <v>1271.4000000000001</v>
      </c>
      <c r="AG8" s="23">
        <v>0</v>
      </c>
      <c r="AH8" s="36">
        <f t="shared" si="9"/>
        <v>143</v>
      </c>
      <c r="AI8" s="21">
        <f t="shared" si="10"/>
        <v>6.0000000000002274</v>
      </c>
      <c r="AJ8" s="22">
        <f t="shared" si="11"/>
        <v>136.99999999999977</v>
      </c>
      <c r="AK8" s="17">
        <f t="shared" si="12"/>
        <v>298.80000000000109</v>
      </c>
      <c r="AL8" s="30">
        <f t="shared" si="13"/>
        <v>435.80000000000086</v>
      </c>
    </row>
    <row r="9" spans="1:38" ht="25.5" customHeight="1">
      <c r="A9" s="23" t="s">
        <v>195</v>
      </c>
      <c r="B9" s="35">
        <v>12.739000000000001</v>
      </c>
      <c r="C9" s="35">
        <v>92.7</v>
      </c>
      <c r="D9" s="23">
        <v>904.09</v>
      </c>
      <c r="E9" s="23">
        <v>251.27</v>
      </c>
      <c r="F9" s="23">
        <v>0.72499999999999998</v>
      </c>
      <c r="G9" s="23">
        <v>0.51900000000000002</v>
      </c>
      <c r="H9" s="23">
        <v>40</v>
      </c>
      <c r="I9" s="5">
        <f t="shared" si="0"/>
        <v>55.199999999999818</v>
      </c>
      <c r="J9" s="6">
        <f t="shared" si="1"/>
        <v>256.79999999999836</v>
      </c>
      <c r="K9" s="23">
        <v>77220.62</v>
      </c>
      <c r="L9" s="23">
        <v>0.98699999999999999</v>
      </c>
      <c r="M9" s="7">
        <f t="shared" si="2"/>
        <v>18.600000000005821</v>
      </c>
      <c r="N9" s="23">
        <v>78</v>
      </c>
      <c r="O9" s="8">
        <f t="shared" si="3"/>
        <v>0</v>
      </c>
      <c r="P9" s="23">
        <v>519.79999999999995</v>
      </c>
      <c r="Q9" s="23">
        <v>0</v>
      </c>
      <c r="R9" s="23">
        <v>127595.51</v>
      </c>
      <c r="S9" s="23">
        <v>0.91800000000000004</v>
      </c>
      <c r="T9" s="9">
        <f t="shared" si="4"/>
        <v>0</v>
      </c>
      <c r="U9" s="10">
        <f t="shared" si="5"/>
        <v>275.40000000000418</v>
      </c>
      <c r="V9" s="35">
        <v>55</v>
      </c>
      <c r="W9" s="35">
        <v>58</v>
      </c>
      <c r="X9" s="35">
        <v>52</v>
      </c>
      <c r="Y9" s="11">
        <f t="shared" si="6"/>
        <v>165</v>
      </c>
      <c r="Z9" s="23">
        <v>65.950599999999994</v>
      </c>
      <c r="AA9" s="8">
        <f t="shared" si="7"/>
        <v>0</v>
      </c>
      <c r="AB9" s="23">
        <v>3037.59</v>
      </c>
      <c r="AC9" s="23">
        <v>0</v>
      </c>
      <c r="AD9" s="23">
        <v>18771</v>
      </c>
      <c r="AE9" s="8">
        <f t="shared" si="8"/>
        <v>2</v>
      </c>
      <c r="AF9" s="23">
        <v>1271.7</v>
      </c>
      <c r="AG9" s="23">
        <v>0</v>
      </c>
      <c r="AH9" s="36">
        <f t="shared" si="9"/>
        <v>165</v>
      </c>
      <c r="AI9" s="21">
        <f t="shared" si="10"/>
        <v>55.199999999999818</v>
      </c>
      <c r="AJ9" s="22">
        <f t="shared" si="11"/>
        <v>109.80000000000018</v>
      </c>
      <c r="AK9" s="17">
        <f t="shared" si="12"/>
        <v>277.40000000000418</v>
      </c>
      <c r="AL9" s="30">
        <f t="shared" si="13"/>
        <v>387.20000000000437</v>
      </c>
    </row>
    <row r="10" spans="1:38" ht="25.5" customHeight="1">
      <c r="A10" s="23" t="s">
        <v>196</v>
      </c>
      <c r="B10" s="35">
        <v>12.829000000000001</v>
      </c>
      <c r="C10" s="35">
        <v>89.2</v>
      </c>
      <c r="D10" s="23">
        <v>910.51</v>
      </c>
      <c r="E10" s="23">
        <v>252.65</v>
      </c>
      <c r="F10" s="23">
        <v>0.72599999999999998</v>
      </c>
      <c r="G10" s="23">
        <v>0.53500000000000003</v>
      </c>
      <c r="H10" s="23">
        <v>40</v>
      </c>
      <c r="I10" s="5">
        <f t="shared" si="0"/>
        <v>87.200000000000273</v>
      </c>
      <c r="J10" s="6">
        <f t="shared" si="1"/>
        <v>282.40000000000236</v>
      </c>
      <c r="K10" s="23">
        <v>77239.22</v>
      </c>
      <c r="L10" s="23">
        <v>0.98699999999999999</v>
      </c>
      <c r="M10" s="7">
        <f t="shared" si="2"/>
        <v>16.309999999997672</v>
      </c>
      <c r="N10" s="23">
        <v>78</v>
      </c>
      <c r="O10" s="8">
        <f t="shared" si="3"/>
        <v>0</v>
      </c>
      <c r="P10" s="23">
        <v>519.79999999999995</v>
      </c>
      <c r="Q10" s="23">
        <v>0</v>
      </c>
      <c r="R10" s="23">
        <v>127595.51</v>
      </c>
      <c r="S10" s="23">
        <v>0.91800000000000004</v>
      </c>
      <c r="T10" s="9">
        <f t="shared" si="4"/>
        <v>0</v>
      </c>
      <c r="U10" s="10">
        <f t="shared" si="5"/>
        <v>298.71000000000004</v>
      </c>
      <c r="V10" s="35">
        <v>94</v>
      </c>
      <c r="W10" s="35">
        <v>99</v>
      </c>
      <c r="X10" s="35">
        <v>86</v>
      </c>
      <c r="Y10" s="11">
        <f t="shared" si="6"/>
        <v>279</v>
      </c>
      <c r="Z10" s="23">
        <v>65.950599999999994</v>
      </c>
      <c r="AA10" s="8">
        <f t="shared" si="7"/>
        <v>0</v>
      </c>
      <c r="AB10" s="23">
        <v>3037.61</v>
      </c>
      <c r="AC10" s="23">
        <v>0</v>
      </c>
      <c r="AD10" s="23">
        <v>18773</v>
      </c>
      <c r="AE10" s="8">
        <f t="shared" si="8"/>
        <v>1</v>
      </c>
      <c r="AF10" s="23">
        <v>1271.9000000000001</v>
      </c>
      <c r="AG10" s="23">
        <v>0</v>
      </c>
      <c r="AH10" s="36">
        <f t="shared" si="9"/>
        <v>279</v>
      </c>
      <c r="AI10" s="21">
        <f t="shared" si="10"/>
        <v>87.200000000000273</v>
      </c>
      <c r="AJ10" s="22">
        <f t="shared" si="11"/>
        <v>191.79999999999973</v>
      </c>
      <c r="AK10" s="17">
        <f t="shared" si="12"/>
        <v>299.71000000000004</v>
      </c>
      <c r="AL10" s="30">
        <f t="shared" si="13"/>
        <v>491.50999999999976</v>
      </c>
    </row>
    <row r="11" spans="1:38" ht="25.5" customHeight="1">
      <c r="A11" s="23" t="s">
        <v>197</v>
      </c>
      <c r="B11" s="35">
        <v>12.944000000000001</v>
      </c>
      <c r="C11" s="35">
        <v>115.8</v>
      </c>
      <c r="D11" s="23">
        <v>917.57</v>
      </c>
      <c r="E11" s="23">
        <v>254.83</v>
      </c>
      <c r="F11" s="23">
        <v>0.73199999999999998</v>
      </c>
      <c r="G11" s="23">
        <v>0.55800000000000005</v>
      </c>
      <c r="H11" s="23">
        <v>40</v>
      </c>
      <c r="I11" s="5">
        <f t="shared" si="0"/>
        <v>74.799999999999045</v>
      </c>
      <c r="J11" s="6">
        <f t="shared" si="1"/>
        <v>240.39999999999964</v>
      </c>
      <c r="K11" s="23">
        <v>77255.53</v>
      </c>
      <c r="L11" s="23">
        <v>0.98599999999999999</v>
      </c>
      <c r="M11" s="7">
        <f t="shared" si="2"/>
        <v>11.94999999999709</v>
      </c>
      <c r="N11" s="23">
        <v>78</v>
      </c>
      <c r="O11" s="8">
        <f t="shared" si="3"/>
        <v>0</v>
      </c>
      <c r="P11" s="23">
        <v>519.79999999999995</v>
      </c>
      <c r="Q11" s="23">
        <v>0</v>
      </c>
      <c r="R11" s="23">
        <v>127595.51</v>
      </c>
      <c r="S11" s="23">
        <v>0.91800000000000004</v>
      </c>
      <c r="T11" s="9">
        <f t="shared" si="4"/>
        <v>0</v>
      </c>
      <c r="U11" s="10">
        <f t="shared" si="5"/>
        <v>252.34999999999673</v>
      </c>
      <c r="V11" s="35">
        <v>86</v>
      </c>
      <c r="W11" s="35">
        <v>64</v>
      </c>
      <c r="X11" s="35">
        <v>43</v>
      </c>
      <c r="Y11" s="11">
        <f t="shared" si="6"/>
        <v>193</v>
      </c>
      <c r="Z11" s="23">
        <v>65.950599999999994</v>
      </c>
      <c r="AA11" s="8">
        <f t="shared" si="7"/>
        <v>0</v>
      </c>
      <c r="AB11" s="23">
        <v>3037.61</v>
      </c>
      <c r="AC11" s="23">
        <v>0</v>
      </c>
      <c r="AD11" s="23">
        <v>18774</v>
      </c>
      <c r="AE11" s="8">
        <f t="shared" si="8"/>
        <v>0</v>
      </c>
      <c r="AF11" s="23">
        <v>1272</v>
      </c>
      <c r="AG11" s="23">
        <v>0</v>
      </c>
      <c r="AH11" s="36">
        <f t="shared" si="9"/>
        <v>193</v>
      </c>
      <c r="AI11" s="21">
        <f t="shared" si="10"/>
        <v>74.799999999999045</v>
      </c>
      <c r="AJ11" s="22">
        <f t="shared" si="11"/>
        <v>118.20000000000095</v>
      </c>
      <c r="AK11" s="17">
        <f t="shared" si="12"/>
        <v>252.34999999999673</v>
      </c>
      <c r="AL11" s="30">
        <f t="shared" si="13"/>
        <v>370.54999999999768</v>
      </c>
    </row>
    <row r="12" spans="1:38" ht="25.5" customHeight="1">
      <c r="A12" s="23" t="s">
        <v>198</v>
      </c>
      <c r="B12" s="35">
        <v>13.0374</v>
      </c>
      <c r="C12" s="35">
        <v>92.6</v>
      </c>
      <c r="D12" s="23">
        <v>923.58</v>
      </c>
      <c r="E12" s="23">
        <v>256.7</v>
      </c>
      <c r="F12" s="23">
        <v>0.73099999999999998</v>
      </c>
      <c r="G12" s="23">
        <v>0.57199999999999995</v>
      </c>
      <c r="H12" s="23">
        <v>40</v>
      </c>
      <c r="I12" s="5">
        <f t="shared" si="0"/>
        <v>111.60000000000082</v>
      </c>
      <c r="J12" s="6">
        <f t="shared" si="1"/>
        <v>224.40000000000055</v>
      </c>
      <c r="K12" s="23">
        <v>77267.48</v>
      </c>
      <c r="L12" s="23">
        <v>0.98599999999999999</v>
      </c>
      <c r="M12" s="7">
        <f t="shared" si="2"/>
        <v>12.120000000009895</v>
      </c>
      <c r="N12" s="23">
        <v>78</v>
      </c>
      <c r="O12" s="8">
        <f t="shared" si="3"/>
        <v>0</v>
      </c>
      <c r="P12" s="23">
        <v>519.79999999999995</v>
      </c>
      <c r="Q12" s="23">
        <v>0</v>
      </c>
      <c r="R12" s="23">
        <v>127595.51</v>
      </c>
      <c r="S12" s="23">
        <v>0.91800000000000004</v>
      </c>
      <c r="T12" s="9">
        <f t="shared" si="4"/>
        <v>0</v>
      </c>
      <c r="U12" s="10">
        <f t="shared" si="5"/>
        <v>236.52000000001044</v>
      </c>
      <c r="V12" s="35">
        <v>97</v>
      </c>
      <c r="W12" s="35">
        <v>115</v>
      </c>
      <c r="X12" s="35">
        <v>99</v>
      </c>
      <c r="Y12" s="11">
        <f t="shared" si="6"/>
        <v>311</v>
      </c>
      <c r="Z12" s="23">
        <v>65.950599999999994</v>
      </c>
      <c r="AA12" s="8">
        <f t="shared" si="7"/>
        <v>0</v>
      </c>
      <c r="AB12" s="23">
        <v>3037.63</v>
      </c>
      <c r="AC12" s="23">
        <v>0</v>
      </c>
      <c r="AD12" s="23">
        <v>18774</v>
      </c>
      <c r="AE12" s="8">
        <f t="shared" si="8"/>
        <v>1</v>
      </c>
      <c r="AF12" s="23">
        <v>1272.0999999999999</v>
      </c>
      <c r="AG12" s="23">
        <v>0</v>
      </c>
      <c r="AH12" s="36">
        <f t="shared" si="9"/>
        <v>311</v>
      </c>
      <c r="AI12" s="21">
        <f t="shared" si="10"/>
        <v>111.60000000000082</v>
      </c>
      <c r="AJ12" s="22">
        <f t="shared" si="11"/>
        <v>199.39999999999918</v>
      </c>
      <c r="AK12" s="17">
        <f t="shared" si="12"/>
        <v>237.52000000001044</v>
      </c>
      <c r="AL12" s="30">
        <f t="shared" si="13"/>
        <v>436.92000000000962</v>
      </c>
    </row>
    <row r="13" spans="1:38" ht="25.5" customHeight="1">
      <c r="A13" s="23" t="s">
        <v>199</v>
      </c>
      <c r="B13" s="35">
        <v>13.152699999999999</v>
      </c>
      <c r="C13" s="35">
        <v>115.3</v>
      </c>
      <c r="D13" s="23">
        <v>929.19</v>
      </c>
      <c r="E13" s="23">
        <v>259.49</v>
      </c>
      <c r="F13" s="23">
        <v>0.73199999999999998</v>
      </c>
      <c r="G13" s="23">
        <v>0.58799999999999997</v>
      </c>
      <c r="H13" s="23">
        <v>40</v>
      </c>
      <c r="I13" s="5">
        <f t="shared" si="0"/>
        <v>290.39999999999964</v>
      </c>
      <c r="J13" s="6">
        <f t="shared" si="1"/>
        <v>335.59999999999945</v>
      </c>
      <c r="K13" s="23">
        <v>77279.600000000006</v>
      </c>
      <c r="L13" s="23">
        <v>0.98599999999999999</v>
      </c>
      <c r="M13" s="7">
        <f t="shared" si="2"/>
        <v>22.69999999999709</v>
      </c>
      <c r="N13" s="23">
        <v>78</v>
      </c>
      <c r="O13" s="8">
        <f t="shared" si="3"/>
        <v>0</v>
      </c>
      <c r="P13" s="23">
        <v>520</v>
      </c>
      <c r="Q13" s="23">
        <v>0</v>
      </c>
      <c r="R13" s="23">
        <v>127595.51</v>
      </c>
      <c r="S13" s="23">
        <v>0.91800000000000004</v>
      </c>
      <c r="T13" s="9">
        <f t="shared" si="4"/>
        <v>0</v>
      </c>
      <c r="U13" s="10">
        <f t="shared" si="5"/>
        <v>358.29999999999654</v>
      </c>
      <c r="V13" s="35">
        <v>100</v>
      </c>
      <c r="W13" s="35">
        <v>110</v>
      </c>
      <c r="X13" s="35">
        <v>115</v>
      </c>
      <c r="Y13" s="11">
        <f t="shared" si="6"/>
        <v>325</v>
      </c>
      <c r="Z13" s="23">
        <v>65.950599999999994</v>
      </c>
      <c r="AA13" s="8">
        <f t="shared" si="7"/>
        <v>0</v>
      </c>
      <c r="AB13" s="23">
        <v>3037.67</v>
      </c>
      <c r="AC13" s="23">
        <v>0</v>
      </c>
      <c r="AD13" s="23">
        <v>18775</v>
      </c>
      <c r="AE13" s="8">
        <f t="shared" si="8"/>
        <v>0</v>
      </c>
      <c r="AF13" s="23">
        <v>1272.0999999999999</v>
      </c>
      <c r="AG13" s="23">
        <v>0</v>
      </c>
      <c r="AH13" s="36">
        <f t="shared" si="9"/>
        <v>325</v>
      </c>
      <c r="AI13" s="21">
        <f t="shared" si="10"/>
        <v>290.39999999999964</v>
      </c>
      <c r="AJ13" s="22">
        <f t="shared" si="11"/>
        <v>34.600000000000364</v>
      </c>
      <c r="AK13" s="17">
        <f t="shared" si="12"/>
        <v>358.29999999999654</v>
      </c>
      <c r="AL13" s="30">
        <f t="shared" si="13"/>
        <v>392.89999999999691</v>
      </c>
    </row>
    <row r="14" spans="1:38" ht="25.5" customHeight="1">
      <c r="A14" s="23" t="s">
        <v>200</v>
      </c>
      <c r="B14" s="35">
        <v>13.3203</v>
      </c>
      <c r="C14" s="35">
        <v>167.6</v>
      </c>
      <c r="D14" s="23">
        <v>937.58</v>
      </c>
      <c r="E14" s="23">
        <v>266.75</v>
      </c>
      <c r="F14" s="23">
        <v>0.73499999999999999</v>
      </c>
      <c r="G14" s="23">
        <v>0.63700000000000001</v>
      </c>
      <c r="H14" s="23">
        <v>40</v>
      </c>
      <c r="I14" s="5">
        <f t="shared" si="0"/>
        <v>64.800000000000182</v>
      </c>
      <c r="J14" s="6">
        <f t="shared" si="1"/>
        <v>211.59999999999854</v>
      </c>
      <c r="K14" s="23">
        <v>77302.3</v>
      </c>
      <c r="L14" s="23">
        <v>0.98499999999999999</v>
      </c>
      <c r="M14" s="7">
        <f t="shared" si="2"/>
        <v>12</v>
      </c>
      <c r="N14" s="23">
        <v>78</v>
      </c>
      <c r="O14" s="8">
        <f t="shared" si="3"/>
        <v>0</v>
      </c>
      <c r="P14" s="23">
        <v>520.1</v>
      </c>
      <c r="Q14" s="23">
        <v>0</v>
      </c>
      <c r="R14" s="23">
        <v>127595.51</v>
      </c>
      <c r="S14" s="23">
        <v>0.91800000000000004</v>
      </c>
      <c r="T14" s="9">
        <f t="shared" si="4"/>
        <v>0</v>
      </c>
      <c r="U14" s="10">
        <f t="shared" si="5"/>
        <v>223.59999999999854</v>
      </c>
      <c r="V14" s="35">
        <v>89</v>
      </c>
      <c r="W14" s="35">
        <v>109</v>
      </c>
      <c r="X14" s="35">
        <v>106</v>
      </c>
      <c r="Y14" s="11">
        <f t="shared" si="6"/>
        <v>304</v>
      </c>
      <c r="Z14" s="23">
        <v>65.950599999999994</v>
      </c>
      <c r="AA14" s="8">
        <f t="shared" si="7"/>
        <v>0</v>
      </c>
      <c r="AB14" s="23">
        <v>3037.69</v>
      </c>
      <c r="AC14" s="23">
        <v>0</v>
      </c>
      <c r="AD14" s="23">
        <v>18775</v>
      </c>
      <c r="AE14" s="8">
        <f t="shared" si="8"/>
        <v>0</v>
      </c>
      <c r="AF14" s="23">
        <v>1272.0999999999999</v>
      </c>
      <c r="AG14" s="23">
        <v>0</v>
      </c>
      <c r="AH14" s="36">
        <f t="shared" si="9"/>
        <v>304</v>
      </c>
      <c r="AI14" s="21">
        <f t="shared" si="10"/>
        <v>64.800000000000182</v>
      </c>
      <c r="AJ14" s="22">
        <f t="shared" si="11"/>
        <v>239.19999999999982</v>
      </c>
      <c r="AK14" s="17">
        <f t="shared" si="12"/>
        <v>223.59999999999854</v>
      </c>
      <c r="AL14" s="30">
        <f t="shared" si="13"/>
        <v>462.79999999999836</v>
      </c>
    </row>
    <row r="15" spans="1:38" ht="25.5" customHeight="1">
      <c r="A15" s="23" t="s">
        <v>201</v>
      </c>
      <c r="B15" s="35">
        <v>13.475</v>
      </c>
      <c r="C15" s="35">
        <v>155.4</v>
      </c>
      <c r="D15" s="23">
        <v>942.87</v>
      </c>
      <c r="E15" s="23">
        <v>268.37</v>
      </c>
      <c r="F15" s="23">
        <v>0.73199999999999998</v>
      </c>
      <c r="G15" s="23">
        <v>0.624</v>
      </c>
      <c r="H15" s="23">
        <v>40</v>
      </c>
      <c r="I15" s="5">
        <f t="shared" si="0"/>
        <v>41.600000000000819</v>
      </c>
      <c r="J15" s="6">
        <f t="shared" si="1"/>
        <v>343.60000000000127</v>
      </c>
      <c r="K15" s="23">
        <v>77314.3</v>
      </c>
      <c r="L15" s="23">
        <v>0.98499999999999999</v>
      </c>
      <c r="M15" s="7">
        <f t="shared" si="2"/>
        <v>20.149999999994179</v>
      </c>
      <c r="N15" s="23">
        <v>78</v>
      </c>
      <c r="O15" s="8">
        <f t="shared" si="3"/>
        <v>0</v>
      </c>
      <c r="P15" s="23">
        <v>520.1</v>
      </c>
      <c r="Q15" s="23">
        <v>0</v>
      </c>
      <c r="R15" s="23">
        <v>127595.51</v>
      </c>
      <c r="S15" s="23">
        <v>0.91800000000000004</v>
      </c>
      <c r="T15" s="9">
        <f t="shared" si="4"/>
        <v>0</v>
      </c>
      <c r="U15" s="10">
        <f t="shared" si="5"/>
        <v>363.74999999999545</v>
      </c>
      <c r="V15" s="35">
        <v>67</v>
      </c>
      <c r="W15" s="35">
        <v>77</v>
      </c>
      <c r="X15" s="35">
        <v>75</v>
      </c>
      <c r="Y15" s="11">
        <f t="shared" si="6"/>
        <v>219</v>
      </c>
      <c r="Z15" s="23">
        <v>65.950599999999994</v>
      </c>
      <c r="AA15" s="8">
        <f t="shared" si="7"/>
        <v>0</v>
      </c>
      <c r="AB15" s="23">
        <v>3037.7</v>
      </c>
      <c r="AC15" s="23">
        <v>0</v>
      </c>
      <c r="AD15" s="23">
        <v>18775</v>
      </c>
      <c r="AE15" s="8">
        <f t="shared" si="8"/>
        <v>0</v>
      </c>
      <c r="AF15" s="23">
        <v>1272.2</v>
      </c>
      <c r="AG15" s="23">
        <v>0</v>
      </c>
      <c r="AH15" s="36">
        <f t="shared" si="9"/>
        <v>219</v>
      </c>
      <c r="AI15" s="21">
        <f t="shared" si="10"/>
        <v>41.600000000000819</v>
      </c>
      <c r="AJ15" s="22">
        <f t="shared" si="11"/>
        <v>177.39999999999918</v>
      </c>
      <c r="AK15" s="17">
        <f t="shared" si="12"/>
        <v>363.74999999999545</v>
      </c>
      <c r="AL15" s="30">
        <f t="shared" si="13"/>
        <v>541.14999999999463</v>
      </c>
    </row>
    <row r="16" spans="1:38" ht="25.5" customHeight="1">
      <c r="A16" s="23" t="s">
        <v>202</v>
      </c>
      <c r="B16" s="23">
        <v>13.624000000000001</v>
      </c>
      <c r="C16" s="23">
        <v>148.9</v>
      </c>
      <c r="D16" s="23">
        <v>951.46</v>
      </c>
      <c r="E16" s="23">
        <v>269.41000000000003</v>
      </c>
      <c r="F16" s="23">
        <v>0.73799999999999999</v>
      </c>
      <c r="G16" s="23">
        <v>0.61799999999999999</v>
      </c>
      <c r="H16" s="23">
        <v>40</v>
      </c>
      <c r="I16" s="5">
        <f t="shared" si="0"/>
        <v>5.5999999999994543</v>
      </c>
      <c r="J16" s="6">
        <f t="shared" si="1"/>
        <v>343.19999999999709</v>
      </c>
      <c r="K16" s="23">
        <v>77334.45</v>
      </c>
      <c r="L16" s="23">
        <v>0.98599999999999999</v>
      </c>
      <c r="M16" s="7">
        <f t="shared" si="2"/>
        <v>4.0100000000093132</v>
      </c>
      <c r="N16" s="23">
        <v>78</v>
      </c>
      <c r="O16" s="8">
        <f t="shared" si="3"/>
        <v>0</v>
      </c>
      <c r="P16" s="23">
        <v>520.1</v>
      </c>
      <c r="Q16" s="23">
        <v>0</v>
      </c>
      <c r="R16" s="23">
        <v>127595.51</v>
      </c>
      <c r="S16" s="23">
        <v>0.91800000000000004</v>
      </c>
      <c r="T16" s="9">
        <f t="shared" si="4"/>
        <v>0</v>
      </c>
      <c r="U16" s="10">
        <f t="shared" si="5"/>
        <v>347.2100000000064</v>
      </c>
      <c r="V16" s="35">
        <v>49</v>
      </c>
      <c r="W16" s="35">
        <v>57</v>
      </c>
      <c r="X16" s="35">
        <v>42</v>
      </c>
      <c r="Y16" s="11">
        <f t="shared" si="6"/>
        <v>148</v>
      </c>
      <c r="Z16" s="23">
        <v>65.950599999999994</v>
      </c>
      <c r="AA16" s="8">
        <f t="shared" si="7"/>
        <v>0</v>
      </c>
      <c r="AB16" s="23">
        <v>3037.7</v>
      </c>
      <c r="AC16" s="23">
        <v>0</v>
      </c>
      <c r="AD16" s="23">
        <v>18775</v>
      </c>
      <c r="AE16" s="8">
        <f t="shared" si="8"/>
        <v>7</v>
      </c>
      <c r="AF16" s="23">
        <v>1272.2</v>
      </c>
      <c r="AG16" s="23">
        <v>0</v>
      </c>
      <c r="AH16" s="36">
        <f t="shared" si="9"/>
        <v>148</v>
      </c>
      <c r="AI16" s="21">
        <f t="shared" si="10"/>
        <v>5.5999999999994543</v>
      </c>
      <c r="AJ16" s="22">
        <f t="shared" si="11"/>
        <v>142.40000000000055</v>
      </c>
      <c r="AK16" s="17">
        <f t="shared" si="12"/>
        <v>354.2100000000064</v>
      </c>
      <c r="AL16" s="30">
        <f t="shared" si="13"/>
        <v>496.61000000000695</v>
      </c>
    </row>
    <row r="17" spans="1:38" ht="25.5" customHeight="1">
      <c r="A17" s="23" t="s">
        <v>203</v>
      </c>
      <c r="B17" s="23">
        <v>13.771000000000001</v>
      </c>
      <c r="C17" s="23">
        <v>148.30000000000001</v>
      </c>
      <c r="D17" s="23">
        <v>960.04</v>
      </c>
      <c r="E17" s="23">
        <v>269.55</v>
      </c>
      <c r="F17" s="23">
        <v>0.73899999999999999</v>
      </c>
      <c r="G17" s="23">
        <v>0.61599999999999999</v>
      </c>
      <c r="H17" s="23">
        <v>40</v>
      </c>
      <c r="I17" s="5">
        <f t="shared" si="0"/>
        <v>1.5999999999985448</v>
      </c>
      <c r="J17" s="6">
        <f t="shared" si="1"/>
        <v>374.40000000000055</v>
      </c>
      <c r="K17" s="23">
        <v>77338.460000000006</v>
      </c>
      <c r="L17" s="23">
        <v>0.98499999999999999</v>
      </c>
      <c r="M17" s="7">
        <f t="shared" si="2"/>
        <v>4.0399999999935972</v>
      </c>
      <c r="N17" s="23">
        <v>78</v>
      </c>
      <c r="O17" s="8">
        <f t="shared" si="3"/>
        <v>0</v>
      </c>
      <c r="P17" s="23">
        <v>521.1</v>
      </c>
      <c r="Q17" s="23">
        <v>0</v>
      </c>
      <c r="R17" s="23">
        <v>127595.51</v>
      </c>
      <c r="S17" s="23">
        <v>0.91800000000000004</v>
      </c>
      <c r="T17" s="9">
        <f t="shared" si="4"/>
        <v>0</v>
      </c>
      <c r="U17" s="10">
        <f t="shared" si="5"/>
        <v>378.43999999999414</v>
      </c>
      <c r="V17" s="35">
        <v>25</v>
      </c>
      <c r="W17" s="35">
        <v>31</v>
      </c>
      <c r="X17" s="35">
        <v>28</v>
      </c>
      <c r="Y17" s="11">
        <f t="shared" si="6"/>
        <v>84</v>
      </c>
      <c r="Z17" s="23">
        <v>65.950599999999994</v>
      </c>
      <c r="AA17" s="8">
        <f t="shared" si="7"/>
        <v>0</v>
      </c>
      <c r="AB17" s="23">
        <v>3037.72</v>
      </c>
      <c r="AC17" s="23">
        <v>0</v>
      </c>
      <c r="AD17" s="23">
        <v>18782</v>
      </c>
      <c r="AE17" s="8">
        <f t="shared" si="8"/>
        <v>3</v>
      </c>
      <c r="AF17" s="23">
        <v>1273</v>
      </c>
      <c r="AG17" s="23">
        <v>0</v>
      </c>
      <c r="AH17" s="36">
        <f t="shared" si="9"/>
        <v>84</v>
      </c>
      <c r="AI17" s="21">
        <f t="shared" si="10"/>
        <v>1.5999999999985448</v>
      </c>
      <c r="AJ17" s="22">
        <f t="shared" si="11"/>
        <v>82.400000000001455</v>
      </c>
      <c r="AK17" s="17">
        <f t="shared" si="12"/>
        <v>381.43999999999414</v>
      </c>
      <c r="AL17" s="30">
        <f t="shared" si="13"/>
        <v>463.8399999999956</v>
      </c>
    </row>
    <row r="18" spans="1:38" ht="25.5" customHeight="1">
      <c r="A18" s="23" t="s">
        <v>204</v>
      </c>
      <c r="B18" s="23">
        <v>13.907999999999999</v>
      </c>
      <c r="C18" s="23">
        <v>136.19999999999999</v>
      </c>
      <c r="D18" s="23">
        <v>969.4</v>
      </c>
      <c r="E18" s="23">
        <v>269.58999999999997</v>
      </c>
      <c r="F18" s="23">
        <v>0.74099999999999999</v>
      </c>
      <c r="G18" s="23">
        <v>0.61399999999999999</v>
      </c>
      <c r="H18" s="23">
        <v>40</v>
      </c>
      <c r="I18" s="5">
        <f t="shared" si="0"/>
        <v>17.599999999999909</v>
      </c>
      <c r="J18" s="6">
        <f t="shared" si="1"/>
        <v>300.79999999999927</v>
      </c>
      <c r="K18" s="23">
        <v>77342.5</v>
      </c>
      <c r="L18" s="23">
        <v>0.98499999999999999</v>
      </c>
      <c r="M18" s="7">
        <f t="shared" si="2"/>
        <v>12.69999999999709</v>
      </c>
      <c r="N18" s="23">
        <v>78</v>
      </c>
      <c r="O18" s="8">
        <f t="shared" si="3"/>
        <v>0</v>
      </c>
      <c r="P18" s="23">
        <v>521.1</v>
      </c>
      <c r="Q18" s="23">
        <v>0</v>
      </c>
      <c r="R18" s="23">
        <v>127595.51</v>
      </c>
      <c r="S18" s="23">
        <v>0.91800000000000004</v>
      </c>
      <c r="T18" s="9">
        <f t="shared" si="4"/>
        <v>0</v>
      </c>
      <c r="U18" s="10">
        <f t="shared" si="5"/>
        <v>313.49999999999636</v>
      </c>
      <c r="V18" s="35">
        <v>47</v>
      </c>
      <c r="W18" s="35">
        <v>49</v>
      </c>
      <c r="X18" s="35">
        <v>51</v>
      </c>
      <c r="Y18" s="11">
        <f t="shared" si="6"/>
        <v>147</v>
      </c>
      <c r="Z18" s="23">
        <v>65.950599999999994</v>
      </c>
      <c r="AA18" s="8">
        <f t="shared" si="7"/>
        <v>0</v>
      </c>
      <c r="AB18" s="23">
        <v>3037.73</v>
      </c>
      <c r="AC18" s="23">
        <v>0</v>
      </c>
      <c r="AD18" s="23">
        <v>18785</v>
      </c>
      <c r="AE18" s="8">
        <f t="shared" si="8"/>
        <v>7</v>
      </c>
      <c r="AF18" s="23">
        <v>1273.4000000000001</v>
      </c>
      <c r="AG18" s="23">
        <v>0</v>
      </c>
      <c r="AH18" s="36">
        <f t="shared" si="9"/>
        <v>147</v>
      </c>
      <c r="AI18" s="21">
        <f t="shared" si="10"/>
        <v>17.599999999999909</v>
      </c>
      <c r="AJ18" s="22">
        <f t="shared" si="11"/>
        <v>129.40000000000009</v>
      </c>
      <c r="AK18" s="17">
        <f t="shared" si="12"/>
        <v>320.49999999999636</v>
      </c>
      <c r="AL18" s="30">
        <f t="shared" si="13"/>
        <v>449.89999999999645</v>
      </c>
    </row>
    <row r="19" spans="1:38" ht="25.5" customHeight="1">
      <c r="A19" s="23" t="s">
        <v>205</v>
      </c>
      <c r="B19" s="23">
        <v>14.063000000000001</v>
      </c>
      <c r="C19" s="23">
        <v>155.69999999999999</v>
      </c>
      <c r="D19" s="23">
        <v>976.92</v>
      </c>
      <c r="E19" s="23">
        <v>270.02999999999997</v>
      </c>
      <c r="F19" s="23">
        <v>0.74199999999999999</v>
      </c>
      <c r="G19" s="23">
        <v>0.60499999999999998</v>
      </c>
      <c r="H19" s="23">
        <v>40</v>
      </c>
      <c r="I19" s="5">
        <f t="shared" si="0"/>
        <v>84.400000000000546</v>
      </c>
      <c r="J19" s="6">
        <f t="shared" si="1"/>
        <v>379.60000000000036</v>
      </c>
      <c r="K19" s="23">
        <v>77355.199999999997</v>
      </c>
      <c r="L19" s="23">
        <v>0.98499999999999999</v>
      </c>
      <c r="M19" s="7">
        <f t="shared" si="2"/>
        <v>14.979999999995925</v>
      </c>
      <c r="N19" s="23">
        <v>78</v>
      </c>
      <c r="O19" s="8">
        <f t="shared" si="3"/>
        <v>0</v>
      </c>
      <c r="P19" s="23">
        <v>521.1</v>
      </c>
      <c r="Q19" s="23">
        <v>0</v>
      </c>
      <c r="R19" s="23">
        <v>127595.51</v>
      </c>
      <c r="S19" s="23">
        <v>0.91800000000000004</v>
      </c>
      <c r="T19" s="9">
        <f t="shared" si="4"/>
        <v>0</v>
      </c>
      <c r="U19" s="10">
        <f t="shared" si="5"/>
        <v>394.57999999999629</v>
      </c>
      <c r="V19" s="35">
        <v>55</v>
      </c>
      <c r="W19" s="35">
        <v>56</v>
      </c>
      <c r="X19" s="35">
        <v>46</v>
      </c>
      <c r="Y19" s="11">
        <f t="shared" si="6"/>
        <v>157</v>
      </c>
      <c r="Z19" s="23">
        <v>65.950599999999994</v>
      </c>
      <c r="AA19" s="8">
        <f t="shared" si="7"/>
        <v>0</v>
      </c>
      <c r="AB19" s="23">
        <v>3037.73</v>
      </c>
      <c r="AC19" s="23">
        <v>0</v>
      </c>
      <c r="AD19" s="23">
        <v>18792</v>
      </c>
      <c r="AE19" s="8">
        <f t="shared" si="8"/>
        <v>1</v>
      </c>
      <c r="AF19" s="23">
        <v>1273.8</v>
      </c>
      <c r="AG19" s="23">
        <v>0</v>
      </c>
      <c r="AH19" s="36">
        <f t="shared" si="9"/>
        <v>157</v>
      </c>
      <c r="AI19" s="21">
        <f t="shared" si="10"/>
        <v>84.400000000000546</v>
      </c>
      <c r="AJ19" s="22">
        <f t="shared" si="11"/>
        <v>72.599999999999454</v>
      </c>
      <c r="AK19" s="17">
        <f t="shared" si="12"/>
        <v>395.57999999999629</v>
      </c>
      <c r="AL19" s="30">
        <f t="shared" si="13"/>
        <v>468.17999999999574</v>
      </c>
    </row>
    <row r="20" spans="1:38" ht="25.5" customHeight="1">
      <c r="A20" s="23" t="s">
        <v>206</v>
      </c>
      <c r="B20" s="23">
        <v>14.222</v>
      </c>
      <c r="C20" s="23">
        <v>158.69999999999999</v>
      </c>
      <c r="D20" s="23">
        <v>986.41</v>
      </c>
      <c r="E20" s="23">
        <v>272.14</v>
      </c>
      <c r="F20" s="23">
        <v>0.74299999999999999</v>
      </c>
      <c r="G20" s="23">
        <v>0.60599999999999998</v>
      </c>
      <c r="H20" s="23">
        <v>40</v>
      </c>
      <c r="I20" s="5">
        <f t="shared" si="0"/>
        <v>86.000000000001364</v>
      </c>
      <c r="J20" s="6">
        <f t="shared" si="1"/>
        <v>194.00000000000091</v>
      </c>
      <c r="K20" s="23">
        <v>77370.179999999993</v>
      </c>
      <c r="L20" s="23">
        <v>0.98499999999999999</v>
      </c>
      <c r="M20" s="7">
        <f t="shared" si="2"/>
        <v>10.260000000009313</v>
      </c>
      <c r="N20" s="23">
        <v>78</v>
      </c>
      <c r="O20" s="8">
        <f t="shared" si="3"/>
        <v>0</v>
      </c>
      <c r="P20" s="23">
        <v>521.1</v>
      </c>
      <c r="Q20" s="23">
        <v>0</v>
      </c>
      <c r="R20" s="23">
        <v>127595.51</v>
      </c>
      <c r="S20" s="23">
        <v>0.91800000000000004</v>
      </c>
      <c r="T20" s="9">
        <f t="shared" si="4"/>
        <v>0</v>
      </c>
      <c r="U20" s="10">
        <f t="shared" si="5"/>
        <v>204.26000000001022</v>
      </c>
      <c r="V20" s="35">
        <v>92</v>
      </c>
      <c r="W20" s="35">
        <v>108</v>
      </c>
      <c r="X20" s="35">
        <v>97</v>
      </c>
      <c r="Y20" s="11">
        <f t="shared" si="6"/>
        <v>297</v>
      </c>
      <c r="Z20" s="23">
        <v>65.950599999999994</v>
      </c>
      <c r="AA20" s="8">
        <f t="shared" si="7"/>
        <v>0</v>
      </c>
      <c r="AB20" s="23">
        <v>3037.74</v>
      </c>
      <c r="AC20" s="23">
        <v>0</v>
      </c>
      <c r="AD20" s="23">
        <v>18793</v>
      </c>
      <c r="AE20" s="8">
        <f t="shared" si="8"/>
        <v>1</v>
      </c>
      <c r="AF20" s="23">
        <v>1274.4000000000001</v>
      </c>
      <c r="AG20" s="23">
        <v>0</v>
      </c>
      <c r="AH20" s="36">
        <f t="shared" si="9"/>
        <v>297</v>
      </c>
      <c r="AI20" s="21">
        <f t="shared" si="10"/>
        <v>86.000000000001364</v>
      </c>
      <c r="AJ20" s="22">
        <f t="shared" si="11"/>
        <v>210.99999999999864</v>
      </c>
      <c r="AK20" s="17">
        <f t="shared" si="12"/>
        <v>205.26000000001022</v>
      </c>
      <c r="AL20" s="30">
        <f t="shared" si="13"/>
        <v>416.26000000000886</v>
      </c>
    </row>
    <row r="21" spans="1:38" ht="25.5" customHeight="1">
      <c r="A21" s="23" t="s">
        <v>207</v>
      </c>
      <c r="B21" s="23">
        <v>14.362</v>
      </c>
      <c r="C21" s="23">
        <v>139.9</v>
      </c>
      <c r="D21" s="23">
        <v>991.26</v>
      </c>
      <c r="E21" s="23">
        <v>274.29000000000002</v>
      </c>
      <c r="F21" s="23">
        <v>0.74299999999999999</v>
      </c>
      <c r="G21" s="23">
        <v>0.60599999999999998</v>
      </c>
      <c r="H21" s="23">
        <v>40</v>
      </c>
      <c r="I21" s="5">
        <f t="shared" si="0"/>
        <v>64.399999999998272</v>
      </c>
      <c r="J21" s="6">
        <f t="shared" si="1"/>
        <v>215.59999999999945</v>
      </c>
      <c r="K21" s="23">
        <v>77380.44</v>
      </c>
      <c r="L21" s="23">
        <v>0.98499999999999999</v>
      </c>
      <c r="M21" s="7">
        <f t="shared" si="2"/>
        <v>4.2200000000011642</v>
      </c>
      <c r="N21" s="23">
        <v>78</v>
      </c>
      <c r="O21" s="8">
        <f t="shared" si="3"/>
        <v>0</v>
      </c>
      <c r="P21" s="23">
        <v>521.1</v>
      </c>
      <c r="Q21" s="23">
        <v>0</v>
      </c>
      <c r="R21" s="23">
        <v>127595.51</v>
      </c>
      <c r="S21" s="23">
        <v>0.91800000000000004</v>
      </c>
      <c r="T21" s="9">
        <f t="shared" si="4"/>
        <v>0</v>
      </c>
      <c r="U21" s="10">
        <f t="shared" si="5"/>
        <v>219.82000000000062</v>
      </c>
      <c r="V21" s="35">
        <v>88</v>
      </c>
      <c r="W21" s="35">
        <v>90</v>
      </c>
      <c r="X21" s="35">
        <v>73</v>
      </c>
      <c r="Y21" s="11">
        <f t="shared" si="6"/>
        <v>251</v>
      </c>
      <c r="Z21" s="23">
        <v>65.950599999999994</v>
      </c>
      <c r="AA21" s="8">
        <f t="shared" si="7"/>
        <v>0</v>
      </c>
      <c r="AB21" s="23">
        <v>3037.75</v>
      </c>
      <c r="AC21" s="23">
        <v>0</v>
      </c>
      <c r="AD21" s="23">
        <v>18794</v>
      </c>
      <c r="AE21" s="8">
        <f t="shared" si="8"/>
        <v>0</v>
      </c>
      <c r="AF21" s="23">
        <v>1274.5</v>
      </c>
      <c r="AG21" s="23">
        <v>0</v>
      </c>
      <c r="AH21" s="36">
        <f t="shared" si="9"/>
        <v>251</v>
      </c>
      <c r="AI21" s="21">
        <f t="shared" si="10"/>
        <v>64.399999999998272</v>
      </c>
      <c r="AJ21" s="22">
        <f t="shared" si="11"/>
        <v>186.60000000000173</v>
      </c>
      <c r="AK21" s="17">
        <f t="shared" si="12"/>
        <v>219.82000000000062</v>
      </c>
      <c r="AL21" s="30">
        <f t="shared" si="13"/>
        <v>406.42000000000235</v>
      </c>
    </row>
    <row r="22" spans="1:38" ht="25.5" customHeight="1">
      <c r="A22" s="23" t="s">
        <v>208</v>
      </c>
      <c r="B22" s="23">
        <v>14.502000000000001</v>
      </c>
      <c r="C22" s="23">
        <f t="shared" ref="C22:C23" si="14">(B22-B21)*1000</f>
        <v>140.00000000000057</v>
      </c>
      <c r="D22" s="23">
        <v>996.65</v>
      </c>
      <c r="E22" s="23">
        <v>275.89999999999998</v>
      </c>
      <c r="F22" s="23">
        <v>0.745</v>
      </c>
      <c r="G22" s="23">
        <v>0.60699999999999998</v>
      </c>
      <c r="H22" s="23">
        <v>40</v>
      </c>
      <c r="I22" s="5">
        <f t="shared" si="0"/>
        <v>18.400000000001455</v>
      </c>
      <c r="J22" s="6">
        <f t="shared" si="1"/>
        <v>251.60000000000309</v>
      </c>
      <c r="K22" s="23">
        <v>77384.66</v>
      </c>
      <c r="L22" s="23">
        <v>0.98499999999999999</v>
      </c>
      <c r="M22" s="7">
        <f t="shared" si="2"/>
        <v>3.9400000000023283</v>
      </c>
      <c r="N22" s="23">
        <v>78</v>
      </c>
      <c r="O22" s="8">
        <f t="shared" si="3"/>
        <v>0</v>
      </c>
      <c r="P22" s="23">
        <v>521.1</v>
      </c>
      <c r="Q22" s="23">
        <v>0</v>
      </c>
      <c r="R22" s="23">
        <v>127595.51</v>
      </c>
      <c r="S22" s="23">
        <v>0.91800000000000004</v>
      </c>
      <c r="T22" s="9">
        <f t="shared" si="4"/>
        <v>0</v>
      </c>
      <c r="U22" s="10">
        <f t="shared" si="5"/>
        <v>255.54000000000542</v>
      </c>
      <c r="V22" s="35">
        <v>67</v>
      </c>
      <c r="W22" s="35">
        <v>68</v>
      </c>
      <c r="X22" s="35">
        <v>57</v>
      </c>
      <c r="Y22" s="11">
        <f t="shared" si="6"/>
        <v>192</v>
      </c>
      <c r="Z22" s="23">
        <v>65.950599999999994</v>
      </c>
      <c r="AA22" s="8">
        <f t="shared" si="7"/>
        <v>0</v>
      </c>
      <c r="AB22" s="23">
        <v>3037.75</v>
      </c>
      <c r="AC22" s="23">
        <v>0</v>
      </c>
      <c r="AD22" s="23">
        <v>18794</v>
      </c>
      <c r="AE22" s="8">
        <f t="shared" si="8"/>
        <v>8</v>
      </c>
      <c r="AF22" s="23">
        <v>1274.5</v>
      </c>
      <c r="AG22" s="23">
        <v>0</v>
      </c>
      <c r="AH22" s="36">
        <f t="shared" si="9"/>
        <v>192</v>
      </c>
      <c r="AI22" s="21">
        <f t="shared" si="10"/>
        <v>18.400000000001455</v>
      </c>
      <c r="AJ22" s="22">
        <f t="shared" si="11"/>
        <v>173.59999999999854</v>
      </c>
      <c r="AK22" s="17">
        <f t="shared" si="12"/>
        <v>263.54000000000542</v>
      </c>
      <c r="AL22" s="30">
        <f t="shared" si="13"/>
        <v>437.14000000000397</v>
      </c>
    </row>
    <row r="23" spans="1:38" ht="25.5" customHeight="1">
      <c r="A23" s="23" t="s">
        <v>209</v>
      </c>
      <c r="B23" s="23">
        <v>14.654</v>
      </c>
      <c r="C23" s="23">
        <f t="shared" si="14"/>
        <v>151.99999999999926</v>
      </c>
      <c r="D23" s="23">
        <v>1002.94</v>
      </c>
      <c r="E23" s="23">
        <v>276.36</v>
      </c>
      <c r="F23" s="23">
        <v>0.746</v>
      </c>
      <c r="G23" s="23">
        <v>0.60099999999999998</v>
      </c>
      <c r="H23" s="23">
        <v>40</v>
      </c>
      <c r="I23" s="5">
        <f t="shared" si="0"/>
        <v>61.599999999998545</v>
      </c>
      <c r="J23" s="6">
        <f t="shared" si="1"/>
        <v>198.39999999999691</v>
      </c>
      <c r="K23" s="23">
        <v>77388.600000000006</v>
      </c>
      <c r="L23" s="23">
        <v>0.98499999999999999</v>
      </c>
      <c r="M23" s="7">
        <f t="shared" si="2"/>
        <v>5.3999999999941792</v>
      </c>
      <c r="N23" s="23">
        <v>78</v>
      </c>
      <c r="O23" s="8">
        <f t="shared" si="3"/>
        <v>0</v>
      </c>
      <c r="P23" s="23">
        <v>521.1</v>
      </c>
      <c r="Q23" s="23">
        <v>0</v>
      </c>
      <c r="R23" s="23">
        <v>127595.51</v>
      </c>
      <c r="S23" s="23">
        <v>0.91800000000000004</v>
      </c>
      <c r="T23" s="9">
        <f t="shared" si="4"/>
        <v>0</v>
      </c>
      <c r="U23" s="10">
        <f t="shared" si="5"/>
        <v>203.79999999999109</v>
      </c>
      <c r="V23" s="35">
        <v>64</v>
      </c>
      <c r="W23" s="35">
        <v>76</v>
      </c>
      <c r="X23" s="35">
        <v>75</v>
      </c>
      <c r="Y23" s="11">
        <f t="shared" si="6"/>
        <v>215</v>
      </c>
      <c r="Z23" s="23">
        <v>65.950599999999994</v>
      </c>
      <c r="AA23" s="8">
        <f t="shared" si="7"/>
        <v>0</v>
      </c>
      <c r="AB23" s="23">
        <v>3037.8</v>
      </c>
      <c r="AC23" s="23">
        <v>0</v>
      </c>
      <c r="AD23" s="23">
        <v>18802</v>
      </c>
      <c r="AE23" s="8">
        <f t="shared" si="8"/>
        <v>20</v>
      </c>
      <c r="AF23" s="23">
        <v>1275.3</v>
      </c>
      <c r="AG23" s="23">
        <v>0</v>
      </c>
      <c r="AH23" s="36">
        <f t="shared" si="9"/>
        <v>215</v>
      </c>
      <c r="AI23" s="21">
        <f t="shared" si="10"/>
        <v>61.599999999998545</v>
      </c>
      <c r="AJ23" s="22">
        <f t="shared" si="11"/>
        <v>153.40000000000146</v>
      </c>
      <c r="AK23" s="17">
        <f t="shared" si="12"/>
        <v>223.79999999999109</v>
      </c>
      <c r="AL23" s="30">
        <f t="shared" si="13"/>
        <v>377.19999999999254</v>
      </c>
    </row>
    <row r="24" spans="1:38" ht="25.5" customHeight="1">
      <c r="A24" s="23" t="s">
        <v>210</v>
      </c>
      <c r="B24" s="23">
        <v>14.782</v>
      </c>
      <c r="C24" s="23">
        <v>128.5</v>
      </c>
      <c r="D24" s="23">
        <v>1007.9</v>
      </c>
      <c r="E24" s="23">
        <v>277.89999999999998</v>
      </c>
      <c r="F24" s="23">
        <v>0.747</v>
      </c>
      <c r="G24" s="23">
        <v>0.6</v>
      </c>
      <c r="H24" s="23">
        <v>40</v>
      </c>
      <c r="I24" s="5">
        <f t="shared" si="0"/>
        <v>109.60000000000036</v>
      </c>
      <c r="J24" s="6">
        <f t="shared" si="1"/>
        <v>134.00000000000091</v>
      </c>
      <c r="K24" s="23">
        <v>77394</v>
      </c>
      <c r="L24" s="23">
        <v>0.98599999999999999</v>
      </c>
      <c r="M24" s="7">
        <f t="shared" si="2"/>
        <v>0.39999999999417923</v>
      </c>
      <c r="N24" s="23">
        <v>78</v>
      </c>
      <c r="O24" s="8">
        <f t="shared" si="3"/>
        <v>0</v>
      </c>
      <c r="P24" s="23">
        <v>521.1</v>
      </c>
      <c r="Q24" s="23">
        <v>0</v>
      </c>
      <c r="R24" s="23">
        <v>127595.51</v>
      </c>
      <c r="S24" s="23">
        <v>0.91700000000000004</v>
      </c>
      <c r="T24" s="9">
        <f t="shared" si="4"/>
        <v>0</v>
      </c>
      <c r="U24" s="10">
        <f t="shared" si="5"/>
        <v>134.39999999999509</v>
      </c>
      <c r="V24" s="35">
        <v>79</v>
      </c>
      <c r="W24" s="35">
        <v>92</v>
      </c>
      <c r="X24" s="35">
        <v>82</v>
      </c>
      <c r="Y24" s="11">
        <f t="shared" si="6"/>
        <v>253</v>
      </c>
      <c r="Z24" s="23">
        <v>65.950599999999994</v>
      </c>
      <c r="AA24" s="8">
        <f t="shared" si="7"/>
        <v>0</v>
      </c>
      <c r="AB24" s="23">
        <v>3037.83</v>
      </c>
      <c r="AC24" s="23">
        <v>0</v>
      </c>
      <c r="AD24" s="23">
        <v>18822</v>
      </c>
      <c r="AE24" s="8">
        <f t="shared" si="8"/>
        <v>0</v>
      </c>
      <c r="AF24" s="23">
        <v>1278.0999999999999</v>
      </c>
      <c r="AG24" s="23">
        <v>0</v>
      </c>
      <c r="AH24" s="36">
        <f t="shared" si="9"/>
        <v>253</v>
      </c>
      <c r="AI24" s="21">
        <f t="shared" si="10"/>
        <v>109.60000000000036</v>
      </c>
      <c r="AJ24" s="22">
        <f t="shared" si="11"/>
        <v>143.39999999999964</v>
      </c>
      <c r="AK24" s="17">
        <f t="shared" si="12"/>
        <v>134.39999999999509</v>
      </c>
      <c r="AL24" s="30">
        <f t="shared" si="13"/>
        <v>277.79999999999472</v>
      </c>
    </row>
    <row r="25" spans="1:38" ht="25.5" customHeight="1">
      <c r="A25" s="23" t="s">
        <v>211</v>
      </c>
      <c r="B25" s="23">
        <v>14.885</v>
      </c>
      <c r="C25" s="23">
        <v>102.5</v>
      </c>
      <c r="D25" s="23">
        <v>1011.25</v>
      </c>
      <c r="E25" s="23">
        <v>280.64</v>
      </c>
      <c r="F25" s="23">
        <v>0.748</v>
      </c>
      <c r="G25" s="23">
        <v>0.60599999999999998</v>
      </c>
      <c r="H25" s="23">
        <v>40</v>
      </c>
      <c r="I25" s="5">
        <f t="shared" si="0"/>
        <v>270</v>
      </c>
      <c r="J25" s="6">
        <f t="shared" si="1"/>
        <v>268.80000000000109</v>
      </c>
      <c r="K25" s="23">
        <v>77394.399999999994</v>
      </c>
      <c r="L25" s="23">
        <v>0.98599999999999999</v>
      </c>
      <c r="M25" s="7">
        <f t="shared" si="2"/>
        <v>7.0500000000029104</v>
      </c>
      <c r="N25" s="23">
        <v>78</v>
      </c>
      <c r="O25" s="8">
        <f t="shared" si="3"/>
        <v>0</v>
      </c>
      <c r="P25" s="23">
        <v>521.1</v>
      </c>
      <c r="Q25" s="23">
        <v>0</v>
      </c>
      <c r="R25" s="23">
        <v>127595.51</v>
      </c>
      <c r="S25" s="23">
        <v>0.91700000000000004</v>
      </c>
      <c r="T25" s="9">
        <f t="shared" si="4"/>
        <v>0</v>
      </c>
      <c r="U25" s="10">
        <f t="shared" si="5"/>
        <v>275.850000000004</v>
      </c>
      <c r="V25" s="35">
        <v>96</v>
      </c>
      <c r="W25" s="35">
        <v>117</v>
      </c>
      <c r="X25" s="35">
        <v>115</v>
      </c>
      <c r="Y25" s="11">
        <f t="shared" si="6"/>
        <v>328</v>
      </c>
      <c r="Z25" s="23">
        <v>65.950599999999994</v>
      </c>
      <c r="AA25" s="8">
        <f t="shared" si="7"/>
        <v>0</v>
      </c>
      <c r="AB25" s="23">
        <v>3037.85</v>
      </c>
      <c r="AC25" s="23">
        <v>0</v>
      </c>
      <c r="AD25" s="23">
        <v>18822</v>
      </c>
      <c r="AE25" s="8">
        <f t="shared" si="8"/>
        <v>1</v>
      </c>
      <c r="AF25" s="23">
        <v>1278.0999999999999</v>
      </c>
      <c r="AG25" s="23">
        <v>0</v>
      </c>
      <c r="AH25" s="36">
        <f t="shared" si="9"/>
        <v>328</v>
      </c>
      <c r="AI25" s="21">
        <f t="shared" si="10"/>
        <v>270</v>
      </c>
      <c r="AJ25" s="22">
        <f t="shared" si="11"/>
        <v>58</v>
      </c>
      <c r="AK25" s="17">
        <f t="shared" si="12"/>
        <v>276.850000000004</v>
      </c>
      <c r="AL25" s="30">
        <f t="shared" si="13"/>
        <v>334.850000000004</v>
      </c>
    </row>
    <row r="26" spans="1:38" ht="25.5" customHeight="1">
      <c r="A26" s="23" t="s">
        <v>212</v>
      </c>
      <c r="B26" s="23">
        <v>15.045</v>
      </c>
      <c r="C26" s="23">
        <v>159.80000000000001</v>
      </c>
      <c r="D26" s="23">
        <v>1017.97</v>
      </c>
      <c r="E26" s="23">
        <v>287.39</v>
      </c>
      <c r="F26" s="23">
        <v>0.749</v>
      </c>
      <c r="G26" s="23">
        <v>0.626</v>
      </c>
      <c r="H26" s="23">
        <v>40</v>
      </c>
      <c r="I26" s="5">
        <f t="shared" si="0"/>
        <v>33.200000000001637</v>
      </c>
      <c r="J26" s="6">
        <f t="shared" si="1"/>
        <v>213.19999999999709</v>
      </c>
      <c r="K26" s="23">
        <v>77401.45</v>
      </c>
      <c r="L26" s="23">
        <v>0.98599999999999999</v>
      </c>
      <c r="M26" s="7">
        <f t="shared" si="2"/>
        <v>4.0100000000093132</v>
      </c>
      <c r="N26" s="23">
        <v>78</v>
      </c>
      <c r="O26" s="8">
        <f t="shared" si="3"/>
        <v>0</v>
      </c>
      <c r="P26" s="23">
        <v>521.1</v>
      </c>
      <c r="Q26" s="23">
        <v>0</v>
      </c>
      <c r="R26" s="23">
        <v>127595.51</v>
      </c>
      <c r="S26" s="23">
        <v>0.91700000000000004</v>
      </c>
      <c r="T26" s="9">
        <f t="shared" si="4"/>
        <v>0</v>
      </c>
      <c r="U26" s="10">
        <f t="shared" si="5"/>
        <v>217.2100000000064</v>
      </c>
      <c r="V26" s="35">
        <v>56</v>
      </c>
      <c r="W26" s="35">
        <v>65</v>
      </c>
      <c r="X26" s="35">
        <v>65</v>
      </c>
      <c r="Y26" s="11">
        <f t="shared" si="6"/>
        <v>186</v>
      </c>
      <c r="Z26" s="23">
        <v>65.950599999999994</v>
      </c>
      <c r="AA26" s="8">
        <f t="shared" si="7"/>
        <v>0</v>
      </c>
      <c r="AB26" s="23">
        <v>3037.87</v>
      </c>
      <c r="AC26" s="23">
        <v>0</v>
      </c>
      <c r="AD26" s="23">
        <v>18823</v>
      </c>
      <c r="AE26" s="8">
        <f t="shared" si="8"/>
        <v>1</v>
      </c>
      <c r="AF26" s="23">
        <v>1278.3</v>
      </c>
      <c r="AG26" s="23">
        <v>0</v>
      </c>
      <c r="AH26" s="36">
        <f t="shared" si="9"/>
        <v>186</v>
      </c>
      <c r="AI26" s="21">
        <f t="shared" si="10"/>
        <v>33.200000000001637</v>
      </c>
      <c r="AJ26" s="22">
        <f t="shared" si="11"/>
        <v>152.79999999999836</v>
      </c>
      <c r="AK26" s="17">
        <f t="shared" si="12"/>
        <v>218.2100000000064</v>
      </c>
      <c r="AL26" s="30">
        <f t="shared" si="13"/>
        <v>371.01000000000477</v>
      </c>
    </row>
    <row r="27" spans="1:38" ht="25.5" customHeight="1">
      <c r="A27" s="23" t="s">
        <v>213</v>
      </c>
      <c r="B27" s="23">
        <v>15.162000000000001</v>
      </c>
      <c r="C27" s="23">
        <v>117.3</v>
      </c>
      <c r="D27" s="23">
        <v>1023.3</v>
      </c>
      <c r="E27" s="23">
        <v>288.22000000000003</v>
      </c>
      <c r="F27" s="23">
        <v>0.747</v>
      </c>
      <c r="G27" s="23">
        <v>0.625</v>
      </c>
      <c r="H27" s="23">
        <v>40</v>
      </c>
      <c r="I27" s="5">
        <f t="shared" si="0"/>
        <v>70.399999999999636</v>
      </c>
      <c r="J27" s="6">
        <f t="shared" si="1"/>
        <v>216.40000000000327</v>
      </c>
      <c r="K27" s="23">
        <v>77405.460000000006</v>
      </c>
      <c r="L27" s="23">
        <v>0.98399999999999999</v>
      </c>
      <c r="M27" s="7">
        <f t="shared" si="2"/>
        <v>8.1599999999889405</v>
      </c>
      <c r="N27" s="23">
        <v>78</v>
      </c>
      <c r="O27" s="8">
        <f t="shared" si="3"/>
        <v>0</v>
      </c>
      <c r="P27" s="23">
        <v>521.1</v>
      </c>
      <c r="Q27" s="23">
        <v>0</v>
      </c>
      <c r="R27" s="23">
        <v>127595.51</v>
      </c>
      <c r="S27" s="23">
        <v>0.91700000000000004</v>
      </c>
      <c r="T27" s="9">
        <f t="shared" si="4"/>
        <v>0</v>
      </c>
      <c r="U27" s="10">
        <f t="shared" si="5"/>
        <v>224.55999999999221</v>
      </c>
      <c r="V27" s="35">
        <v>66</v>
      </c>
      <c r="W27" s="35">
        <v>79</v>
      </c>
      <c r="X27" s="35">
        <v>78</v>
      </c>
      <c r="Y27" s="11">
        <f t="shared" si="6"/>
        <v>223</v>
      </c>
      <c r="Z27" s="23">
        <v>65.950599999999994</v>
      </c>
      <c r="AA27" s="8">
        <f t="shared" si="7"/>
        <v>0</v>
      </c>
      <c r="AB27" s="23">
        <v>3037.89</v>
      </c>
      <c r="AC27" s="23">
        <v>0</v>
      </c>
      <c r="AD27" s="23">
        <v>18824</v>
      </c>
      <c r="AE27" s="8">
        <f t="shared" si="8"/>
        <v>0</v>
      </c>
      <c r="AF27" s="23">
        <v>1278.7</v>
      </c>
      <c r="AG27" s="23">
        <v>0</v>
      </c>
      <c r="AH27" s="36">
        <f t="shared" si="9"/>
        <v>223</v>
      </c>
      <c r="AI27" s="21">
        <f t="shared" si="10"/>
        <v>70.399999999999636</v>
      </c>
      <c r="AJ27" s="22">
        <f t="shared" si="11"/>
        <v>152.60000000000036</v>
      </c>
      <c r="AK27" s="17">
        <f t="shared" si="12"/>
        <v>224.55999999999221</v>
      </c>
      <c r="AL27" s="30">
        <f t="shared" si="13"/>
        <v>377.15999999999258</v>
      </c>
    </row>
    <row r="28" spans="1:38" ht="25.5" customHeight="1">
      <c r="A28" s="23" t="s">
        <v>214</v>
      </c>
      <c r="B28" s="23">
        <v>15.250999999999999</v>
      </c>
      <c r="C28" s="23">
        <v>86.3</v>
      </c>
      <c r="D28" s="23">
        <v>1028.71</v>
      </c>
      <c r="E28" s="23">
        <v>289.98</v>
      </c>
      <c r="F28" s="23">
        <v>0.748</v>
      </c>
      <c r="G28" s="23">
        <v>0.627</v>
      </c>
      <c r="H28" s="23">
        <v>40</v>
      </c>
      <c r="I28" s="5">
        <f t="shared" si="0"/>
        <v>43.599999999999</v>
      </c>
      <c r="J28" s="6">
        <f t="shared" si="1"/>
        <v>218.40000000000146</v>
      </c>
      <c r="K28" s="23">
        <v>77413.62</v>
      </c>
      <c r="L28" s="23">
        <v>0.98399999999999999</v>
      </c>
      <c r="M28" s="7">
        <f t="shared" si="2"/>
        <v>7</v>
      </c>
      <c r="N28" s="23">
        <v>78</v>
      </c>
      <c r="O28" s="8">
        <f t="shared" si="3"/>
        <v>0</v>
      </c>
      <c r="P28" s="23">
        <v>521.70000000000005</v>
      </c>
      <c r="Q28" s="23">
        <v>0</v>
      </c>
      <c r="R28" s="23">
        <v>127595.51</v>
      </c>
      <c r="S28" s="23">
        <v>0.91700000000000004</v>
      </c>
      <c r="T28" s="9">
        <f t="shared" si="4"/>
        <v>0</v>
      </c>
      <c r="U28" s="10">
        <f t="shared" si="5"/>
        <v>225.40000000000146</v>
      </c>
      <c r="V28" s="35">
        <v>59</v>
      </c>
      <c r="W28" s="35">
        <v>68</v>
      </c>
      <c r="X28" s="35">
        <v>62</v>
      </c>
      <c r="Y28" s="11">
        <f t="shared" si="6"/>
        <v>189</v>
      </c>
      <c r="Z28" s="23">
        <v>65.950599999999994</v>
      </c>
      <c r="AA28" s="8">
        <f t="shared" si="7"/>
        <v>0</v>
      </c>
      <c r="AB28" s="23">
        <v>3037.94</v>
      </c>
      <c r="AC28" s="23">
        <v>0</v>
      </c>
      <c r="AD28" s="23">
        <v>18824</v>
      </c>
      <c r="AE28" s="8">
        <f t="shared" si="8"/>
        <v>0</v>
      </c>
      <c r="AF28" s="23">
        <v>1278.7</v>
      </c>
      <c r="AG28" s="23">
        <v>0</v>
      </c>
      <c r="AH28" s="36">
        <f t="shared" si="9"/>
        <v>189</v>
      </c>
      <c r="AI28" s="21">
        <f t="shared" si="10"/>
        <v>43.599999999999</v>
      </c>
      <c r="AJ28" s="22">
        <f t="shared" si="11"/>
        <v>145.400000000001</v>
      </c>
      <c r="AK28" s="17">
        <f t="shared" si="12"/>
        <v>225.40000000000146</v>
      </c>
      <c r="AL28" s="30">
        <f t="shared" si="13"/>
        <v>370.80000000000246</v>
      </c>
    </row>
    <row r="29" spans="1:38" ht="25.5" customHeight="1">
      <c r="A29" s="23" t="s">
        <v>215</v>
      </c>
      <c r="B29" s="23">
        <v>15.337999999999999</v>
      </c>
      <c r="C29" s="23">
        <v>87.1</v>
      </c>
      <c r="D29" s="23">
        <v>1034.17</v>
      </c>
      <c r="E29" s="23">
        <v>291.07</v>
      </c>
      <c r="F29" s="23">
        <v>0.747</v>
      </c>
      <c r="G29" s="23">
        <v>0.627</v>
      </c>
      <c r="H29" s="23">
        <v>40</v>
      </c>
      <c r="I29" s="5">
        <f t="shared" si="0"/>
        <v>20</v>
      </c>
      <c r="J29" s="6">
        <f t="shared" si="1"/>
        <v>285.19999999999527</v>
      </c>
      <c r="K29" s="23">
        <v>77420.62</v>
      </c>
      <c r="L29" s="23">
        <v>0.98599999999999999</v>
      </c>
      <c r="M29" s="7">
        <f t="shared" si="2"/>
        <v>3.6300000000046566</v>
      </c>
      <c r="N29" s="23">
        <v>78</v>
      </c>
      <c r="O29" s="8">
        <f t="shared" si="3"/>
        <v>0</v>
      </c>
      <c r="P29" s="23">
        <v>521.70000000000005</v>
      </c>
      <c r="Q29" s="23">
        <v>0</v>
      </c>
      <c r="R29" s="23">
        <v>127595.51</v>
      </c>
      <c r="S29" s="23">
        <v>0.91700000000000004</v>
      </c>
      <c r="T29" s="9">
        <f t="shared" si="4"/>
        <v>0</v>
      </c>
      <c r="U29" s="10">
        <f t="shared" si="5"/>
        <v>288.82999999999993</v>
      </c>
      <c r="V29" s="35">
        <v>18</v>
      </c>
      <c r="W29" s="35">
        <v>22</v>
      </c>
      <c r="X29" s="35">
        <v>20</v>
      </c>
      <c r="Y29" s="11">
        <f t="shared" si="6"/>
        <v>60</v>
      </c>
      <c r="Z29" s="23">
        <v>65.950599999999994</v>
      </c>
      <c r="AA29" s="8">
        <f t="shared" si="7"/>
        <v>0</v>
      </c>
      <c r="AB29" s="23">
        <v>3037.96</v>
      </c>
      <c r="AC29" s="23">
        <v>0</v>
      </c>
      <c r="AD29" s="23">
        <v>18824</v>
      </c>
      <c r="AE29" s="8">
        <f t="shared" si="8"/>
        <v>4</v>
      </c>
      <c r="AF29" s="23">
        <v>1278.7</v>
      </c>
      <c r="AG29" s="23">
        <v>0</v>
      </c>
      <c r="AH29" s="36">
        <f t="shared" si="9"/>
        <v>60</v>
      </c>
      <c r="AI29" s="21">
        <f t="shared" si="10"/>
        <v>20</v>
      </c>
      <c r="AJ29" s="22">
        <f t="shared" si="11"/>
        <v>40</v>
      </c>
      <c r="AK29" s="17">
        <f t="shared" si="12"/>
        <v>292.82999999999993</v>
      </c>
      <c r="AL29" s="30">
        <f t="shared" si="13"/>
        <v>332.82999999999993</v>
      </c>
    </row>
    <row r="30" spans="1:38" ht="25.5" customHeight="1">
      <c r="A30" s="23" t="s">
        <v>216</v>
      </c>
      <c r="B30" s="23">
        <v>15.441000000000001</v>
      </c>
      <c r="C30" s="23">
        <v>102.8</v>
      </c>
      <c r="D30" s="23">
        <v>1041.3</v>
      </c>
      <c r="E30" s="23">
        <v>291.57</v>
      </c>
      <c r="F30" s="23">
        <v>0.747</v>
      </c>
      <c r="G30" s="23">
        <v>0.628</v>
      </c>
      <c r="H30" s="23">
        <v>40</v>
      </c>
      <c r="I30" s="5"/>
      <c r="J30" s="6"/>
      <c r="K30" s="23">
        <v>77424.25</v>
      </c>
      <c r="L30" s="23">
        <v>0.98599999999999999</v>
      </c>
      <c r="M30" s="7"/>
      <c r="N30" s="23">
        <v>78</v>
      </c>
      <c r="O30" s="8"/>
      <c r="P30" s="23">
        <v>521.70000000000005</v>
      </c>
      <c r="Q30" s="23">
        <v>0</v>
      </c>
      <c r="R30" s="23">
        <v>127595.51</v>
      </c>
      <c r="S30" s="23">
        <v>0.91800000000000004</v>
      </c>
      <c r="T30" s="9"/>
      <c r="U30" s="10"/>
      <c r="V30" s="35">
        <v>28</v>
      </c>
      <c r="W30" s="35">
        <v>39</v>
      </c>
      <c r="X30" s="35">
        <v>57</v>
      </c>
      <c r="Y30" s="11">
        <f t="shared" si="6"/>
        <v>124</v>
      </c>
      <c r="Z30" s="23">
        <v>65.950599999999994</v>
      </c>
      <c r="AA30" s="8"/>
      <c r="AB30" s="23">
        <v>3037.97</v>
      </c>
      <c r="AC30" s="23">
        <v>0</v>
      </c>
      <c r="AD30" s="23">
        <v>18828</v>
      </c>
      <c r="AE30" s="8"/>
      <c r="AF30" s="23">
        <v>1279.0999999999999</v>
      </c>
      <c r="AG30" s="23">
        <v>0</v>
      </c>
      <c r="AH30" s="36">
        <f t="shared" si="9"/>
        <v>124</v>
      </c>
      <c r="AI30" s="21">
        <f t="shared" si="10"/>
        <v>0</v>
      </c>
      <c r="AJ30" s="22">
        <f t="shared" si="11"/>
        <v>124</v>
      </c>
      <c r="AK30" s="17">
        <f t="shared" si="12"/>
        <v>0</v>
      </c>
      <c r="AL30" s="30">
        <f t="shared" si="13"/>
        <v>124</v>
      </c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2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51" t="s">
        <v>216</v>
      </c>
      <c r="B3" s="23">
        <v>15.441000000000001</v>
      </c>
      <c r="C3" s="23">
        <v>102.8</v>
      </c>
      <c r="D3" s="23">
        <v>1041.3</v>
      </c>
      <c r="E3" s="23">
        <v>291.57</v>
      </c>
      <c r="F3" s="23">
        <v>0.747</v>
      </c>
      <c r="G3" s="23">
        <v>0.628</v>
      </c>
      <c r="H3" s="23">
        <v>40</v>
      </c>
      <c r="I3" s="5">
        <f t="shared" ref="I3:I26" si="0">(E4-E3)*40</f>
        <v>37.200000000000273</v>
      </c>
      <c r="J3" s="6">
        <f t="shared" ref="J3:J26" si="1">(D4-D3)*40</f>
        <v>197.20000000000255</v>
      </c>
      <c r="K3" s="23">
        <v>77424.25</v>
      </c>
      <c r="L3" s="23">
        <v>0.98599999999999999</v>
      </c>
      <c r="M3" s="7">
        <f t="shared" ref="M3:M26" si="2">(K4-K3)</f>
        <v>5.5399999999935972</v>
      </c>
      <c r="N3" s="23">
        <v>78</v>
      </c>
      <c r="O3" s="8">
        <f t="shared" ref="O3:O26" si="3">(N4-N3)</f>
        <v>0</v>
      </c>
      <c r="P3" s="23">
        <v>521.70000000000005</v>
      </c>
      <c r="Q3" s="23">
        <v>0</v>
      </c>
      <c r="R3" s="23">
        <v>127595.51</v>
      </c>
      <c r="S3" s="23">
        <v>0.91800000000000004</v>
      </c>
      <c r="T3" s="9">
        <f t="shared" ref="T3:T26" si="4">(R4-R3)</f>
        <v>0</v>
      </c>
      <c r="U3" s="10">
        <f t="shared" ref="U3:U26" si="5">(J3+M3+O3+T3)</f>
        <v>202.73999999999614</v>
      </c>
      <c r="V3" s="35">
        <v>28</v>
      </c>
      <c r="W3" s="35">
        <v>39</v>
      </c>
      <c r="X3" s="35">
        <v>57</v>
      </c>
      <c r="Y3" s="11">
        <f t="shared" ref="Y3:Y26" si="6">SUM(V3:X3)</f>
        <v>124</v>
      </c>
      <c r="Z3" s="23">
        <v>65.950599999999994</v>
      </c>
      <c r="AA3" s="8">
        <f t="shared" ref="AA3:AA26" si="7">(Z4-Z3)</f>
        <v>0</v>
      </c>
      <c r="AB3" s="23">
        <v>3037.97</v>
      </c>
      <c r="AC3" s="23">
        <v>0</v>
      </c>
      <c r="AD3" s="23">
        <v>18828</v>
      </c>
      <c r="AE3" s="8">
        <f t="shared" ref="AE3:AE26" si="8">(AD4-AD3)</f>
        <v>0</v>
      </c>
      <c r="AF3" s="23">
        <v>1279.0999999999999</v>
      </c>
      <c r="AG3" s="23">
        <v>0</v>
      </c>
      <c r="AH3" s="36">
        <f t="shared" ref="AH3:AH26" si="9">Y3</f>
        <v>124</v>
      </c>
      <c r="AI3" s="21">
        <f t="shared" ref="AI3:AI26" si="10">I3</f>
        <v>37.200000000000273</v>
      </c>
      <c r="AJ3" s="22">
        <f t="shared" ref="AJ3:AJ26" si="11">(AH3-AI3)</f>
        <v>86.799999999999727</v>
      </c>
      <c r="AK3" s="17">
        <f t="shared" ref="AK3:AK26" si="12">(U3+AA3+AE3)</f>
        <v>202.73999999999614</v>
      </c>
      <c r="AL3" s="30">
        <f t="shared" ref="AL3:AL26" si="13">(AJ3+AK3)</f>
        <v>289.53999999999587</v>
      </c>
    </row>
    <row r="4" spans="1:38" ht="25.5" customHeight="1">
      <c r="A4" s="39" t="s">
        <v>217</v>
      </c>
      <c r="B4" s="35">
        <v>15.515000000000001</v>
      </c>
      <c r="C4" s="35">
        <v>74.2</v>
      </c>
      <c r="D4" s="23">
        <v>1046.23</v>
      </c>
      <c r="E4" s="23">
        <v>292.5</v>
      </c>
      <c r="F4" s="23">
        <v>0.749</v>
      </c>
      <c r="G4" s="23">
        <v>0.628</v>
      </c>
      <c r="H4" s="23">
        <v>40</v>
      </c>
      <c r="I4" s="5">
        <f t="shared" si="0"/>
        <v>40.799999999999272</v>
      </c>
      <c r="J4" s="6">
        <f t="shared" si="1"/>
        <v>241.19999999999891</v>
      </c>
      <c r="K4" s="23">
        <v>77429.789999999994</v>
      </c>
      <c r="L4" s="23">
        <v>0.98499999999999999</v>
      </c>
      <c r="M4" s="7">
        <f t="shared" si="2"/>
        <v>4.6600000000034925</v>
      </c>
      <c r="N4" s="35">
        <v>78</v>
      </c>
      <c r="O4" s="8">
        <f t="shared" si="3"/>
        <v>0</v>
      </c>
      <c r="P4" s="23">
        <v>521.70000000000005</v>
      </c>
      <c r="Q4" s="23">
        <v>0</v>
      </c>
      <c r="R4" s="23">
        <v>127595.51</v>
      </c>
      <c r="S4" s="23">
        <v>0.91800000000000004</v>
      </c>
      <c r="T4" s="9">
        <f t="shared" si="4"/>
        <v>0</v>
      </c>
      <c r="U4" s="10">
        <f t="shared" si="5"/>
        <v>245.8600000000024</v>
      </c>
      <c r="V4" s="35">
        <v>74</v>
      </c>
      <c r="W4" s="35">
        <v>76</v>
      </c>
      <c r="X4" s="35">
        <v>70</v>
      </c>
      <c r="Y4" s="11">
        <f t="shared" si="6"/>
        <v>220</v>
      </c>
      <c r="Z4" s="23">
        <v>65.950599999999994</v>
      </c>
      <c r="AA4" s="8">
        <f t="shared" si="7"/>
        <v>0</v>
      </c>
      <c r="AB4" s="23">
        <v>3037.99</v>
      </c>
      <c r="AC4" s="23">
        <v>0</v>
      </c>
      <c r="AD4" s="23">
        <v>18828</v>
      </c>
      <c r="AE4" s="8">
        <f t="shared" si="8"/>
        <v>1</v>
      </c>
      <c r="AF4" s="23">
        <v>1279.2</v>
      </c>
      <c r="AG4" s="23">
        <v>0</v>
      </c>
      <c r="AH4" s="36">
        <f t="shared" si="9"/>
        <v>220</v>
      </c>
      <c r="AI4" s="21">
        <f t="shared" si="10"/>
        <v>40.799999999999272</v>
      </c>
      <c r="AJ4" s="22">
        <f t="shared" si="11"/>
        <v>179.20000000000073</v>
      </c>
      <c r="AK4" s="17">
        <f t="shared" si="12"/>
        <v>246.8600000000024</v>
      </c>
      <c r="AL4" s="30">
        <f t="shared" si="13"/>
        <v>426.06000000000313</v>
      </c>
    </row>
    <row r="5" spans="1:38" ht="25.5" customHeight="1">
      <c r="A5" s="39" t="s">
        <v>218</v>
      </c>
      <c r="B5" s="35">
        <v>15.659000000000001</v>
      </c>
      <c r="C5" s="35">
        <v>144.4</v>
      </c>
      <c r="D5" s="23">
        <v>1052.26</v>
      </c>
      <c r="E5" s="23">
        <v>293.52</v>
      </c>
      <c r="F5" s="23">
        <v>0.748</v>
      </c>
      <c r="G5" s="23">
        <v>0.628</v>
      </c>
      <c r="H5" s="23">
        <v>40</v>
      </c>
      <c r="I5" s="5">
        <f t="shared" si="0"/>
        <v>2.7999999999997272</v>
      </c>
      <c r="J5" s="6">
        <f t="shared" si="1"/>
        <v>288.80000000000109</v>
      </c>
      <c r="K5" s="23">
        <v>77434.45</v>
      </c>
      <c r="L5" s="23">
        <v>0.98499999999999999</v>
      </c>
      <c r="M5" s="7">
        <f t="shared" si="2"/>
        <v>10.040000000008149</v>
      </c>
      <c r="N5" s="35">
        <v>78</v>
      </c>
      <c r="O5" s="8">
        <f t="shared" si="3"/>
        <v>0</v>
      </c>
      <c r="P5" s="23">
        <v>521.70000000000005</v>
      </c>
      <c r="Q5" s="23">
        <v>0</v>
      </c>
      <c r="R5" s="23">
        <v>127595.51</v>
      </c>
      <c r="S5" s="23">
        <v>0.91800000000000004</v>
      </c>
      <c r="T5" s="9">
        <f t="shared" si="4"/>
        <v>0</v>
      </c>
      <c r="U5" s="10">
        <f t="shared" si="5"/>
        <v>298.84000000000924</v>
      </c>
      <c r="V5" s="35">
        <v>18</v>
      </c>
      <c r="W5" s="35">
        <v>21</v>
      </c>
      <c r="X5" s="35">
        <v>20</v>
      </c>
      <c r="Y5" s="11">
        <f t="shared" si="6"/>
        <v>59</v>
      </c>
      <c r="Z5" s="23">
        <v>65.950599999999994</v>
      </c>
      <c r="AA5" s="8">
        <f t="shared" si="7"/>
        <v>0</v>
      </c>
      <c r="AB5" s="23">
        <v>3038</v>
      </c>
      <c r="AC5" s="23">
        <v>0</v>
      </c>
      <c r="AD5" s="23">
        <v>18829</v>
      </c>
      <c r="AE5" s="8">
        <f t="shared" si="8"/>
        <v>0</v>
      </c>
      <c r="AF5" s="23">
        <v>1279.2</v>
      </c>
      <c r="AG5" s="23">
        <v>0</v>
      </c>
      <c r="AH5" s="36">
        <f t="shared" si="9"/>
        <v>59</v>
      </c>
      <c r="AI5" s="21">
        <f t="shared" si="10"/>
        <v>2.7999999999997272</v>
      </c>
      <c r="AJ5" s="22">
        <f t="shared" si="11"/>
        <v>56.200000000000273</v>
      </c>
      <c r="AK5" s="17">
        <f t="shared" si="12"/>
        <v>298.84000000000924</v>
      </c>
      <c r="AL5" s="30">
        <f t="shared" si="13"/>
        <v>355.04000000000951</v>
      </c>
    </row>
    <row r="6" spans="1:38" ht="25.5" customHeight="1">
      <c r="A6" s="39" t="s">
        <v>219</v>
      </c>
      <c r="B6" s="35">
        <v>15.791</v>
      </c>
      <c r="C6" s="35">
        <v>131.4</v>
      </c>
      <c r="D6" s="23">
        <v>1059.48</v>
      </c>
      <c r="E6" s="23">
        <v>293.58999999999997</v>
      </c>
      <c r="F6" s="23">
        <v>0.748</v>
      </c>
      <c r="G6" s="23">
        <v>0.77</v>
      </c>
      <c r="H6" s="23">
        <v>40</v>
      </c>
      <c r="I6" s="5">
        <f t="shared" si="0"/>
        <v>14.400000000000546</v>
      </c>
      <c r="J6" s="6">
        <f t="shared" si="1"/>
        <v>403.99999999999636</v>
      </c>
      <c r="K6" s="23">
        <v>77444.490000000005</v>
      </c>
      <c r="L6" s="23">
        <v>0.98499999999999999</v>
      </c>
      <c r="M6" s="7">
        <f t="shared" si="2"/>
        <v>9.1100000000005821</v>
      </c>
      <c r="N6" s="23">
        <v>78</v>
      </c>
      <c r="O6" s="8">
        <f t="shared" si="3"/>
        <v>0</v>
      </c>
      <c r="P6" s="23">
        <v>521.70000000000005</v>
      </c>
      <c r="Q6" s="23">
        <v>0</v>
      </c>
      <c r="R6" s="23">
        <v>127595.51</v>
      </c>
      <c r="S6" s="23">
        <v>0.91800000000000004</v>
      </c>
      <c r="T6" s="9">
        <f t="shared" si="4"/>
        <v>0</v>
      </c>
      <c r="U6" s="10">
        <f t="shared" si="5"/>
        <v>413.10999999999694</v>
      </c>
      <c r="V6" s="35">
        <v>41</v>
      </c>
      <c r="W6" s="35">
        <v>43</v>
      </c>
      <c r="X6" s="35">
        <v>37</v>
      </c>
      <c r="Y6" s="11">
        <f t="shared" si="6"/>
        <v>121</v>
      </c>
      <c r="Z6" s="23">
        <v>65.950599999999994</v>
      </c>
      <c r="AA6" s="8">
        <f t="shared" si="7"/>
        <v>0</v>
      </c>
      <c r="AB6" s="23">
        <v>3038.02</v>
      </c>
      <c r="AC6" s="52">
        <v>100</v>
      </c>
      <c r="AD6" s="23">
        <v>18829</v>
      </c>
      <c r="AE6" s="8">
        <f t="shared" si="8"/>
        <v>1</v>
      </c>
      <c r="AF6" s="23">
        <v>1279.4000000000001</v>
      </c>
      <c r="AG6" s="23">
        <v>0</v>
      </c>
      <c r="AH6" s="36">
        <f t="shared" si="9"/>
        <v>121</v>
      </c>
      <c r="AI6" s="21">
        <f t="shared" si="10"/>
        <v>14.400000000000546</v>
      </c>
      <c r="AJ6" s="22">
        <f t="shared" si="11"/>
        <v>106.59999999999945</v>
      </c>
      <c r="AK6" s="17">
        <f t="shared" si="12"/>
        <v>414.10999999999694</v>
      </c>
      <c r="AL6" s="30">
        <f t="shared" si="13"/>
        <v>520.7099999999964</v>
      </c>
    </row>
    <row r="7" spans="1:38" ht="25.5" customHeight="1">
      <c r="A7" s="39" t="s">
        <v>220</v>
      </c>
      <c r="B7" s="35">
        <v>16.027999999999999</v>
      </c>
      <c r="C7" s="35">
        <v>236.8</v>
      </c>
      <c r="D7" s="23">
        <v>1069.58</v>
      </c>
      <c r="E7" s="23">
        <v>293.95</v>
      </c>
      <c r="F7" s="23">
        <v>0.749</v>
      </c>
      <c r="G7" s="23">
        <v>0.77</v>
      </c>
      <c r="H7" s="23">
        <v>40</v>
      </c>
      <c r="I7" s="5">
        <f t="shared" si="0"/>
        <v>7.5999999999999091</v>
      </c>
      <c r="J7" s="6">
        <f t="shared" si="1"/>
        <v>307.20000000000255</v>
      </c>
      <c r="K7" s="23">
        <v>77453.600000000006</v>
      </c>
      <c r="L7" s="23">
        <v>0.98499999999999999</v>
      </c>
      <c r="M7" s="7">
        <f t="shared" si="2"/>
        <v>8.5299999999988358</v>
      </c>
      <c r="N7" s="23">
        <v>78</v>
      </c>
      <c r="O7" s="8">
        <f t="shared" si="3"/>
        <v>0</v>
      </c>
      <c r="P7" s="23">
        <v>521.70000000000005</v>
      </c>
      <c r="Q7" s="23">
        <v>0</v>
      </c>
      <c r="R7" s="23">
        <v>127595.51</v>
      </c>
      <c r="S7" s="23">
        <v>0.91800000000000004</v>
      </c>
      <c r="T7" s="9">
        <f t="shared" si="4"/>
        <v>0</v>
      </c>
      <c r="U7" s="10">
        <f t="shared" si="5"/>
        <v>315.73000000000138</v>
      </c>
      <c r="V7" s="35">
        <v>49</v>
      </c>
      <c r="W7" s="35">
        <v>57</v>
      </c>
      <c r="X7" s="35">
        <v>55</v>
      </c>
      <c r="Y7" s="11">
        <f t="shared" si="6"/>
        <v>161</v>
      </c>
      <c r="Z7" s="23">
        <v>65.950599999999994</v>
      </c>
      <c r="AA7" s="8">
        <f t="shared" si="7"/>
        <v>1.9000000000005457E-2</v>
      </c>
      <c r="AB7" s="52">
        <v>3038.85</v>
      </c>
      <c r="AC7" s="23">
        <v>0</v>
      </c>
      <c r="AD7" s="23">
        <v>18830</v>
      </c>
      <c r="AE7" s="8">
        <f t="shared" si="8"/>
        <v>1</v>
      </c>
      <c r="AF7" s="23">
        <v>1279.5</v>
      </c>
      <c r="AG7" s="23">
        <v>0</v>
      </c>
      <c r="AH7" s="36">
        <f t="shared" si="9"/>
        <v>161</v>
      </c>
      <c r="AI7" s="21">
        <f t="shared" si="10"/>
        <v>7.5999999999999091</v>
      </c>
      <c r="AJ7" s="22">
        <f t="shared" si="11"/>
        <v>153.40000000000009</v>
      </c>
      <c r="AK7" s="17">
        <f t="shared" si="12"/>
        <v>316.74900000000139</v>
      </c>
      <c r="AL7" s="30">
        <f t="shared" si="13"/>
        <v>470.14900000000148</v>
      </c>
    </row>
    <row r="8" spans="1:38" ht="25.5" customHeight="1">
      <c r="A8" s="39" t="s">
        <v>221</v>
      </c>
      <c r="B8" s="35">
        <v>16.164000000000001</v>
      </c>
      <c r="C8" s="35">
        <v>136.5</v>
      </c>
      <c r="D8" s="23">
        <v>1077.26</v>
      </c>
      <c r="E8" s="23">
        <v>294.14</v>
      </c>
      <c r="F8" s="23">
        <v>0.78600000000000003</v>
      </c>
      <c r="G8" s="23">
        <v>0.41599999999999998</v>
      </c>
      <c r="H8" s="23">
        <v>40</v>
      </c>
      <c r="I8" s="5">
        <f t="shared" si="0"/>
        <v>8.4000000000014552</v>
      </c>
      <c r="J8" s="6">
        <f t="shared" si="1"/>
        <v>323.19999999999709</v>
      </c>
      <c r="K8" s="23">
        <v>77462.13</v>
      </c>
      <c r="L8" s="23">
        <v>0.98599999999999999</v>
      </c>
      <c r="M8" s="7">
        <f t="shared" si="2"/>
        <v>10</v>
      </c>
      <c r="N8" s="23">
        <v>78</v>
      </c>
      <c r="O8" s="8">
        <f t="shared" si="3"/>
        <v>0</v>
      </c>
      <c r="P8" s="23">
        <v>521.70000000000005</v>
      </c>
      <c r="Q8" s="23">
        <v>0</v>
      </c>
      <c r="R8" s="23">
        <v>127595.51</v>
      </c>
      <c r="S8" s="23">
        <v>0.91800000000000004</v>
      </c>
      <c r="T8" s="9">
        <f t="shared" si="4"/>
        <v>0</v>
      </c>
      <c r="U8" s="10">
        <f t="shared" si="5"/>
        <v>333.19999999999709</v>
      </c>
      <c r="V8" s="35">
        <v>38</v>
      </c>
      <c r="W8" s="35">
        <v>41</v>
      </c>
      <c r="X8" s="35">
        <v>42</v>
      </c>
      <c r="Y8" s="11">
        <f t="shared" si="6"/>
        <v>121</v>
      </c>
      <c r="Z8" s="23">
        <v>65.9696</v>
      </c>
      <c r="AA8" s="8">
        <f t="shared" si="7"/>
        <v>0</v>
      </c>
      <c r="AB8" s="23">
        <v>3038.87</v>
      </c>
      <c r="AC8" s="23">
        <v>0</v>
      </c>
      <c r="AD8" s="23">
        <v>18831</v>
      </c>
      <c r="AE8" s="8">
        <f t="shared" si="8"/>
        <v>5</v>
      </c>
      <c r="AF8" s="23">
        <v>1279.7</v>
      </c>
      <c r="AG8" s="23">
        <v>0</v>
      </c>
      <c r="AH8" s="36">
        <f t="shared" si="9"/>
        <v>121</v>
      </c>
      <c r="AI8" s="21">
        <f t="shared" si="10"/>
        <v>8.4000000000014552</v>
      </c>
      <c r="AJ8" s="22">
        <f t="shared" si="11"/>
        <v>112.59999999999854</v>
      </c>
      <c r="AK8" s="17">
        <f t="shared" si="12"/>
        <v>338.19999999999709</v>
      </c>
      <c r="AL8" s="30">
        <f t="shared" si="13"/>
        <v>450.79999999999563</v>
      </c>
    </row>
    <row r="9" spans="1:38" ht="25.5" customHeight="1">
      <c r="A9" s="39" t="s">
        <v>222</v>
      </c>
      <c r="B9" s="35">
        <v>16.314</v>
      </c>
      <c r="C9" s="35">
        <v>149.6</v>
      </c>
      <c r="D9" s="23">
        <v>1085.3399999999999</v>
      </c>
      <c r="E9" s="23">
        <v>294.35000000000002</v>
      </c>
      <c r="F9" s="23">
        <v>0.78600000000000003</v>
      </c>
      <c r="G9" s="23">
        <v>0.39800000000000002</v>
      </c>
      <c r="H9" s="23">
        <v>40</v>
      </c>
      <c r="I9" s="5">
        <f t="shared" si="0"/>
        <v>2.7999999999997272</v>
      </c>
      <c r="J9" s="6">
        <f t="shared" si="1"/>
        <v>345.20000000000437</v>
      </c>
      <c r="K9" s="23">
        <v>77472.13</v>
      </c>
      <c r="L9" s="23">
        <v>0.98499999999999999</v>
      </c>
      <c r="M9" s="7">
        <f t="shared" si="2"/>
        <v>13.709999999991851</v>
      </c>
      <c r="N9" s="23">
        <v>78</v>
      </c>
      <c r="O9" s="8">
        <f t="shared" si="3"/>
        <v>0</v>
      </c>
      <c r="P9" s="23">
        <v>521.70000000000005</v>
      </c>
      <c r="Q9" s="23">
        <v>0</v>
      </c>
      <c r="R9" s="23">
        <v>127595.51</v>
      </c>
      <c r="S9" s="23">
        <v>0.91800000000000004</v>
      </c>
      <c r="T9" s="9">
        <f t="shared" si="4"/>
        <v>0</v>
      </c>
      <c r="U9" s="10">
        <f t="shared" si="5"/>
        <v>358.90999999999622</v>
      </c>
      <c r="V9" s="35">
        <v>39</v>
      </c>
      <c r="W9" s="35">
        <v>41</v>
      </c>
      <c r="X9" s="35">
        <v>42</v>
      </c>
      <c r="Y9" s="11">
        <f t="shared" si="6"/>
        <v>122</v>
      </c>
      <c r="Z9" s="23">
        <v>65.9696</v>
      </c>
      <c r="AA9" s="8">
        <f t="shared" si="7"/>
        <v>0</v>
      </c>
      <c r="AB9" s="23">
        <v>3038.89</v>
      </c>
      <c r="AC9" s="23">
        <v>0</v>
      </c>
      <c r="AD9" s="23">
        <v>18836</v>
      </c>
      <c r="AE9" s="8">
        <f t="shared" si="8"/>
        <v>1</v>
      </c>
      <c r="AF9" s="23">
        <v>1280.0999999999999</v>
      </c>
      <c r="AG9" s="23">
        <v>0</v>
      </c>
      <c r="AH9" s="36">
        <f t="shared" si="9"/>
        <v>122</v>
      </c>
      <c r="AI9" s="21">
        <f t="shared" si="10"/>
        <v>2.7999999999997272</v>
      </c>
      <c r="AJ9" s="22">
        <f t="shared" si="11"/>
        <v>119.20000000000027</v>
      </c>
      <c r="AK9" s="17">
        <f t="shared" si="12"/>
        <v>359.90999999999622</v>
      </c>
      <c r="AL9" s="30">
        <f t="shared" si="13"/>
        <v>479.10999999999649</v>
      </c>
    </row>
    <row r="10" spans="1:38" ht="25.5" customHeight="1">
      <c r="A10" s="39" t="s">
        <v>223</v>
      </c>
      <c r="B10" s="35">
        <v>16.471</v>
      </c>
      <c r="C10" s="35">
        <v>157.1</v>
      </c>
      <c r="D10" s="23">
        <v>1093.97</v>
      </c>
      <c r="E10" s="23">
        <v>294.42</v>
      </c>
      <c r="F10" s="23">
        <v>0.78600000000000003</v>
      </c>
      <c r="G10" s="23">
        <v>0.38600000000000001</v>
      </c>
      <c r="H10" s="23">
        <v>40</v>
      </c>
      <c r="I10" s="5">
        <f t="shared" si="0"/>
        <v>8.3999999999991815</v>
      </c>
      <c r="J10" s="6">
        <f t="shared" si="1"/>
        <v>411.19999999999891</v>
      </c>
      <c r="K10" s="23">
        <v>77485.84</v>
      </c>
      <c r="L10" s="23">
        <v>0.98599999999999999</v>
      </c>
      <c r="M10" s="7">
        <f t="shared" si="2"/>
        <v>12.010000000009313</v>
      </c>
      <c r="N10" s="23">
        <v>78</v>
      </c>
      <c r="O10" s="8">
        <f t="shared" si="3"/>
        <v>0</v>
      </c>
      <c r="P10" s="23">
        <v>521.70000000000005</v>
      </c>
      <c r="Q10" s="23">
        <v>0</v>
      </c>
      <c r="R10" s="23">
        <v>127595.51</v>
      </c>
      <c r="S10" s="23">
        <v>0.91800000000000004</v>
      </c>
      <c r="T10" s="9">
        <f t="shared" si="4"/>
        <v>0</v>
      </c>
      <c r="U10" s="10">
        <f t="shared" si="5"/>
        <v>423.21000000000822</v>
      </c>
      <c r="V10" s="35">
        <v>25</v>
      </c>
      <c r="W10" s="35">
        <v>32</v>
      </c>
      <c r="X10" s="35">
        <v>31</v>
      </c>
      <c r="Y10" s="11">
        <f t="shared" si="6"/>
        <v>88</v>
      </c>
      <c r="Z10" s="23">
        <v>65.9696</v>
      </c>
      <c r="AA10" s="8">
        <f t="shared" si="7"/>
        <v>0</v>
      </c>
      <c r="AB10" s="23">
        <v>3038.9</v>
      </c>
      <c r="AC10" s="23">
        <v>0</v>
      </c>
      <c r="AD10" s="23">
        <v>18837</v>
      </c>
      <c r="AE10" s="8">
        <f t="shared" si="8"/>
        <v>2</v>
      </c>
      <c r="AF10" s="23">
        <v>1280.3</v>
      </c>
      <c r="AG10" s="23">
        <v>0</v>
      </c>
      <c r="AH10" s="36">
        <f t="shared" si="9"/>
        <v>88</v>
      </c>
      <c r="AI10" s="21">
        <f t="shared" si="10"/>
        <v>8.3999999999991815</v>
      </c>
      <c r="AJ10" s="22">
        <f t="shared" si="11"/>
        <v>79.600000000000819</v>
      </c>
      <c r="AK10" s="17">
        <f t="shared" si="12"/>
        <v>425.21000000000822</v>
      </c>
      <c r="AL10" s="30">
        <f t="shared" si="13"/>
        <v>504.81000000000904</v>
      </c>
    </row>
    <row r="11" spans="1:38" ht="25.5" customHeight="1">
      <c r="A11" s="39" t="s">
        <v>224</v>
      </c>
      <c r="B11" s="35">
        <v>16.661000000000001</v>
      </c>
      <c r="C11" s="35">
        <v>190.5</v>
      </c>
      <c r="D11" s="23">
        <v>1104.25</v>
      </c>
      <c r="E11" s="23">
        <v>294.63</v>
      </c>
      <c r="F11" s="23">
        <v>0.79300000000000004</v>
      </c>
      <c r="G11" s="23">
        <v>0.39800000000000002</v>
      </c>
      <c r="H11" s="23">
        <v>40</v>
      </c>
      <c r="I11" s="5">
        <f t="shared" si="0"/>
        <v>5.5999999999994543</v>
      </c>
      <c r="J11" s="6">
        <f t="shared" si="1"/>
        <v>670.79999999999927</v>
      </c>
      <c r="K11" s="23">
        <v>77497.850000000006</v>
      </c>
      <c r="L11" s="23">
        <v>0.98499999999999999</v>
      </c>
      <c r="M11" s="7">
        <f t="shared" si="2"/>
        <v>9.7699999999895226</v>
      </c>
      <c r="N11" s="23">
        <v>78</v>
      </c>
      <c r="O11" s="8">
        <f t="shared" si="3"/>
        <v>0</v>
      </c>
      <c r="P11" s="23">
        <v>521.70000000000005</v>
      </c>
      <c r="Q11" s="23">
        <v>0</v>
      </c>
      <c r="R11" s="23">
        <v>127595.51</v>
      </c>
      <c r="S11" s="23">
        <v>0.91800000000000004</v>
      </c>
      <c r="T11" s="9">
        <f t="shared" si="4"/>
        <v>0</v>
      </c>
      <c r="U11" s="10">
        <f t="shared" si="5"/>
        <v>680.5699999999888</v>
      </c>
      <c r="V11" s="35">
        <v>29</v>
      </c>
      <c r="W11" s="35">
        <v>38</v>
      </c>
      <c r="X11" s="35">
        <v>34</v>
      </c>
      <c r="Y11" s="11">
        <f t="shared" si="6"/>
        <v>101</v>
      </c>
      <c r="Z11" s="23">
        <v>65.9696</v>
      </c>
      <c r="AA11" s="8">
        <f t="shared" si="7"/>
        <v>0</v>
      </c>
      <c r="AB11" s="23">
        <v>3038.9</v>
      </c>
      <c r="AC11" s="23">
        <v>0</v>
      </c>
      <c r="AD11" s="23">
        <v>18839</v>
      </c>
      <c r="AE11" s="8">
        <f t="shared" si="8"/>
        <v>0</v>
      </c>
      <c r="AF11" s="23">
        <v>1280.5999999999999</v>
      </c>
      <c r="AG11" s="23">
        <v>0</v>
      </c>
      <c r="AH11" s="36">
        <f t="shared" si="9"/>
        <v>101</v>
      </c>
      <c r="AI11" s="21">
        <f t="shared" si="10"/>
        <v>5.5999999999994543</v>
      </c>
      <c r="AJ11" s="22">
        <f t="shared" si="11"/>
        <v>95.400000000000546</v>
      </c>
      <c r="AK11" s="17">
        <f t="shared" si="12"/>
        <v>680.5699999999888</v>
      </c>
      <c r="AL11" s="30">
        <f t="shared" si="13"/>
        <v>775.96999999998934</v>
      </c>
    </row>
    <row r="12" spans="1:38" ht="25.5" customHeight="1">
      <c r="A12" s="39" t="s">
        <v>225</v>
      </c>
      <c r="B12" s="35">
        <v>16.904</v>
      </c>
      <c r="C12" s="35">
        <v>243.1</v>
      </c>
      <c r="D12" s="23">
        <v>1121.02</v>
      </c>
      <c r="E12" s="23">
        <v>294.77</v>
      </c>
      <c r="F12" s="23">
        <v>0.79600000000000004</v>
      </c>
      <c r="G12" s="23">
        <v>0.39600000000000002</v>
      </c>
      <c r="H12" s="23">
        <v>40</v>
      </c>
      <c r="I12" s="5">
        <f t="shared" si="0"/>
        <v>0.3999999999996362</v>
      </c>
      <c r="J12" s="6">
        <f t="shared" si="1"/>
        <v>328.00000000000182</v>
      </c>
      <c r="K12" s="23">
        <v>77507.62</v>
      </c>
      <c r="L12" s="23">
        <v>0.98499999999999999</v>
      </c>
      <c r="M12" s="7">
        <f t="shared" si="2"/>
        <v>7.6000000000058208</v>
      </c>
      <c r="N12" s="23">
        <v>78</v>
      </c>
      <c r="O12" s="8">
        <f t="shared" si="3"/>
        <v>0</v>
      </c>
      <c r="P12" s="23">
        <v>521.70000000000005</v>
      </c>
      <c r="Q12" s="23">
        <v>0</v>
      </c>
      <c r="R12" s="23">
        <v>127595.51</v>
      </c>
      <c r="S12" s="23">
        <v>0.91800000000000004</v>
      </c>
      <c r="T12" s="9">
        <f t="shared" si="4"/>
        <v>0</v>
      </c>
      <c r="U12" s="10">
        <f t="shared" si="5"/>
        <v>335.60000000000764</v>
      </c>
      <c r="V12" s="35">
        <v>22</v>
      </c>
      <c r="W12" s="35">
        <v>18</v>
      </c>
      <c r="X12" s="35">
        <v>20</v>
      </c>
      <c r="Y12" s="11">
        <f t="shared" si="6"/>
        <v>60</v>
      </c>
      <c r="Z12" s="23">
        <v>65.9696</v>
      </c>
      <c r="AA12" s="8">
        <f t="shared" si="7"/>
        <v>0</v>
      </c>
      <c r="AB12" s="23">
        <v>3038.93</v>
      </c>
      <c r="AC12" s="23">
        <v>0</v>
      </c>
      <c r="AD12" s="23">
        <v>18839</v>
      </c>
      <c r="AE12" s="8">
        <f t="shared" si="8"/>
        <v>12</v>
      </c>
      <c r="AF12" s="23">
        <v>1280.5999999999999</v>
      </c>
      <c r="AG12" s="23">
        <v>0</v>
      </c>
      <c r="AH12" s="36">
        <f t="shared" si="9"/>
        <v>60</v>
      </c>
      <c r="AI12" s="21">
        <f t="shared" si="10"/>
        <v>0.3999999999996362</v>
      </c>
      <c r="AJ12" s="22">
        <f t="shared" si="11"/>
        <v>59.600000000000364</v>
      </c>
      <c r="AK12" s="17">
        <f t="shared" si="12"/>
        <v>347.60000000000764</v>
      </c>
      <c r="AL12" s="30">
        <f t="shared" si="13"/>
        <v>407.200000000008</v>
      </c>
    </row>
    <row r="13" spans="1:38" ht="25.5" customHeight="1">
      <c r="A13" s="39" t="s">
        <v>226</v>
      </c>
      <c r="B13" s="35">
        <v>17.050999999999998</v>
      </c>
      <c r="C13" s="35">
        <v>146.19999999999999</v>
      </c>
      <c r="D13" s="23">
        <v>1129.22</v>
      </c>
      <c r="E13" s="23">
        <v>294.77999999999997</v>
      </c>
      <c r="F13" s="23">
        <v>0.79800000000000004</v>
      </c>
      <c r="G13" s="23">
        <v>0.39600000000000002</v>
      </c>
      <c r="H13" s="23">
        <v>40</v>
      </c>
      <c r="I13" s="5">
        <f t="shared" si="0"/>
        <v>8.4000000000014552</v>
      </c>
      <c r="J13" s="6">
        <f t="shared" si="1"/>
        <v>261.99999999999818</v>
      </c>
      <c r="K13" s="23">
        <v>77515.22</v>
      </c>
      <c r="L13" s="23">
        <v>0.98499999999999999</v>
      </c>
      <c r="M13" s="7">
        <f t="shared" si="2"/>
        <v>27.490000000005239</v>
      </c>
      <c r="N13" s="23">
        <v>78</v>
      </c>
      <c r="O13" s="8">
        <f t="shared" si="3"/>
        <v>0</v>
      </c>
      <c r="P13" s="23">
        <v>521.70000000000005</v>
      </c>
      <c r="Q13" s="23">
        <v>0</v>
      </c>
      <c r="R13" s="23">
        <v>127595.51</v>
      </c>
      <c r="S13" s="23">
        <v>0.91800000000000004</v>
      </c>
      <c r="T13" s="9">
        <f t="shared" si="4"/>
        <v>0</v>
      </c>
      <c r="U13" s="10">
        <f t="shared" si="5"/>
        <v>289.49000000000342</v>
      </c>
      <c r="V13" s="35">
        <v>21</v>
      </c>
      <c r="W13" s="35">
        <v>25</v>
      </c>
      <c r="X13" s="35">
        <v>20</v>
      </c>
      <c r="Y13" s="11">
        <f t="shared" si="6"/>
        <v>66</v>
      </c>
      <c r="Z13" s="23">
        <v>65.9696</v>
      </c>
      <c r="AA13" s="8">
        <f t="shared" si="7"/>
        <v>0</v>
      </c>
      <c r="AB13" s="23">
        <v>3039.22</v>
      </c>
      <c r="AC13" s="23">
        <v>0</v>
      </c>
      <c r="AD13" s="23">
        <v>18851</v>
      </c>
      <c r="AE13" s="8">
        <f t="shared" si="8"/>
        <v>5</v>
      </c>
      <c r="AF13" s="23">
        <v>1281.5999999999999</v>
      </c>
      <c r="AG13" s="23">
        <v>0</v>
      </c>
      <c r="AH13" s="36">
        <f t="shared" si="9"/>
        <v>66</v>
      </c>
      <c r="AI13" s="21">
        <f t="shared" si="10"/>
        <v>8.4000000000014552</v>
      </c>
      <c r="AJ13" s="22">
        <f t="shared" si="11"/>
        <v>57.599999999998545</v>
      </c>
      <c r="AK13" s="17">
        <f t="shared" si="12"/>
        <v>294.49000000000342</v>
      </c>
      <c r="AL13" s="30">
        <f t="shared" si="13"/>
        <v>352.09000000000196</v>
      </c>
    </row>
    <row r="14" spans="1:38" ht="25.5" customHeight="1">
      <c r="A14" s="39" t="s">
        <v>227</v>
      </c>
      <c r="B14" s="35">
        <v>17.148</v>
      </c>
      <c r="C14" s="35">
        <v>97.5</v>
      </c>
      <c r="D14" s="23">
        <v>1135.77</v>
      </c>
      <c r="E14" s="23">
        <v>294.99</v>
      </c>
      <c r="F14" s="23">
        <v>0.79600000000000004</v>
      </c>
      <c r="G14" s="23">
        <v>0.38900000000000001</v>
      </c>
      <c r="H14" s="23">
        <v>40</v>
      </c>
      <c r="I14" s="5">
        <f t="shared" si="0"/>
        <v>222.79999999999973</v>
      </c>
      <c r="J14" s="6">
        <f t="shared" si="1"/>
        <v>760.39999999999964</v>
      </c>
      <c r="K14" s="23">
        <v>77542.710000000006</v>
      </c>
      <c r="L14" s="23">
        <v>0.98499999999999999</v>
      </c>
      <c r="M14" s="7">
        <f t="shared" si="2"/>
        <v>36.779999999998836</v>
      </c>
      <c r="N14" s="23">
        <v>78</v>
      </c>
      <c r="O14" s="8">
        <f t="shared" si="3"/>
        <v>0</v>
      </c>
      <c r="P14" s="23">
        <v>521.79999999999995</v>
      </c>
      <c r="Q14" s="23">
        <v>0</v>
      </c>
      <c r="R14" s="23">
        <v>127595.51</v>
      </c>
      <c r="S14" s="23">
        <v>0.91800000000000004</v>
      </c>
      <c r="T14" s="9">
        <f t="shared" si="4"/>
        <v>0</v>
      </c>
      <c r="U14" s="10">
        <f t="shared" si="5"/>
        <v>797.17999999999847</v>
      </c>
      <c r="V14" s="35">
        <v>15</v>
      </c>
      <c r="W14" s="35">
        <v>16</v>
      </c>
      <c r="X14" s="35">
        <v>15</v>
      </c>
      <c r="Y14" s="11">
        <f t="shared" si="6"/>
        <v>46</v>
      </c>
      <c r="Z14" s="23">
        <v>65.9696</v>
      </c>
      <c r="AA14" s="8">
        <f t="shared" si="7"/>
        <v>0</v>
      </c>
      <c r="AB14" s="23">
        <v>3039.25</v>
      </c>
      <c r="AC14" s="23">
        <v>0</v>
      </c>
      <c r="AD14" s="23">
        <v>18856</v>
      </c>
      <c r="AE14" s="8">
        <f t="shared" si="8"/>
        <v>0</v>
      </c>
      <c r="AF14" s="23">
        <v>1282.2</v>
      </c>
      <c r="AG14" s="23">
        <v>0</v>
      </c>
      <c r="AH14" s="36">
        <f t="shared" si="9"/>
        <v>46</v>
      </c>
      <c r="AI14" s="21">
        <f t="shared" si="10"/>
        <v>222.79999999999973</v>
      </c>
      <c r="AJ14" s="22">
        <f t="shared" si="11"/>
        <v>-176.79999999999973</v>
      </c>
      <c r="AK14" s="17">
        <f t="shared" si="12"/>
        <v>797.17999999999847</v>
      </c>
      <c r="AL14" s="30">
        <f t="shared" si="13"/>
        <v>620.37999999999874</v>
      </c>
    </row>
    <row r="15" spans="1:38" ht="25.5" customHeight="1">
      <c r="A15" s="39" t="s">
        <v>228</v>
      </c>
      <c r="B15" s="23">
        <v>17.32</v>
      </c>
      <c r="C15" s="23">
        <v>172.2</v>
      </c>
      <c r="D15" s="23">
        <v>1154.78</v>
      </c>
      <c r="E15" s="23">
        <v>300.56</v>
      </c>
      <c r="F15" s="23">
        <v>0.78200000000000003</v>
      </c>
      <c r="G15" s="23">
        <v>0.57099999999999995</v>
      </c>
      <c r="H15" s="23">
        <v>40</v>
      </c>
      <c r="I15" s="5">
        <f t="shared" si="0"/>
        <v>130</v>
      </c>
      <c r="J15" s="6">
        <f t="shared" si="1"/>
        <v>163.59999999999673</v>
      </c>
      <c r="K15" s="23">
        <v>77579.490000000005</v>
      </c>
      <c r="L15" s="23">
        <v>0.98599999999999999</v>
      </c>
      <c r="M15" s="7">
        <f t="shared" si="2"/>
        <v>19.039999999993597</v>
      </c>
      <c r="N15" s="23">
        <v>78</v>
      </c>
      <c r="O15" s="8">
        <f t="shared" si="3"/>
        <v>0</v>
      </c>
      <c r="P15" s="23">
        <v>522</v>
      </c>
      <c r="Q15" s="23">
        <v>0</v>
      </c>
      <c r="R15" s="23">
        <v>127595.51</v>
      </c>
      <c r="S15" s="23">
        <v>0.91800000000000004</v>
      </c>
      <c r="T15" s="9">
        <f t="shared" si="4"/>
        <v>0</v>
      </c>
      <c r="U15" s="10">
        <f t="shared" si="5"/>
        <v>182.63999999999032</v>
      </c>
      <c r="V15" s="35">
        <v>95</v>
      </c>
      <c r="W15" s="35">
        <v>109</v>
      </c>
      <c r="X15" s="35">
        <v>98</v>
      </c>
      <c r="Y15" s="11">
        <f t="shared" si="6"/>
        <v>302</v>
      </c>
      <c r="Z15" s="23">
        <v>65.9696</v>
      </c>
      <c r="AA15" s="8">
        <f t="shared" si="7"/>
        <v>7.9000000000064574E-3</v>
      </c>
      <c r="AB15" s="23">
        <v>3039.27</v>
      </c>
      <c r="AC15" s="23">
        <v>0</v>
      </c>
      <c r="AD15" s="23">
        <v>18856</v>
      </c>
      <c r="AE15" s="8">
        <f t="shared" si="8"/>
        <v>1</v>
      </c>
      <c r="AF15" s="23">
        <v>1282.4000000000001</v>
      </c>
      <c r="AG15" s="23">
        <v>0</v>
      </c>
      <c r="AH15" s="36">
        <f t="shared" si="9"/>
        <v>302</v>
      </c>
      <c r="AI15" s="21">
        <f t="shared" si="10"/>
        <v>130</v>
      </c>
      <c r="AJ15" s="22">
        <f t="shared" si="11"/>
        <v>172</v>
      </c>
      <c r="AK15" s="17">
        <f t="shared" si="12"/>
        <v>183.64789999999033</v>
      </c>
      <c r="AL15" s="30">
        <f t="shared" si="13"/>
        <v>355.64789999999033</v>
      </c>
    </row>
    <row r="16" spans="1:38" ht="25.5" customHeight="1">
      <c r="A16" s="39" t="s">
        <v>229</v>
      </c>
      <c r="B16" s="23">
        <v>17.420000000000002</v>
      </c>
      <c r="C16" s="23">
        <v>100</v>
      </c>
      <c r="D16" s="23">
        <v>1158.8699999999999</v>
      </c>
      <c r="E16" s="23">
        <v>303.81</v>
      </c>
      <c r="F16" s="23">
        <v>0.78200000000000003</v>
      </c>
      <c r="G16" s="23">
        <v>0.60099999999999998</v>
      </c>
      <c r="H16" s="23">
        <v>40</v>
      </c>
      <c r="I16" s="5">
        <f t="shared" si="0"/>
        <v>93.599999999999</v>
      </c>
      <c r="J16" s="6">
        <f t="shared" si="1"/>
        <v>189.60000000000036</v>
      </c>
      <c r="K16" s="23">
        <v>77598.53</v>
      </c>
      <c r="L16" s="23">
        <v>0.98599999999999999</v>
      </c>
      <c r="M16" s="7">
        <f t="shared" si="2"/>
        <v>22.55000000000291</v>
      </c>
      <c r="N16" s="23">
        <v>78</v>
      </c>
      <c r="O16" s="8">
        <f t="shared" si="3"/>
        <v>0</v>
      </c>
      <c r="P16" s="23">
        <v>522</v>
      </c>
      <c r="Q16" s="23">
        <v>0</v>
      </c>
      <c r="R16" s="23">
        <v>127595.51</v>
      </c>
      <c r="S16" s="23">
        <v>0.91800000000000004</v>
      </c>
      <c r="T16" s="9">
        <f t="shared" si="4"/>
        <v>0</v>
      </c>
      <c r="U16" s="10">
        <f t="shared" si="5"/>
        <v>212.15000000000327</v>
      </c>
      <c r="V16" s="35">
        <v>87</v>
      </c>
      <c r="W16" s="35">
        <v>99</v>
      </c>
      <c r="X16" s="35">
        <v>94</v>
      </c>
      <c r="Y16" s="11">
        <f t="shared" si="6"/>
        <v>280</v>
      </c>
      <c r="Z16" s="23">
        <v>65.977500000000006</v>
      </c>
      <c r="AA16" s="8">
        <f t="shared" si="7"/>
        <v>0</v>
      </c>
      <c r="AB16" s="23">
        <v>3039.29</v>
      </c>
      <c r="AC16" s="23">
        <v>0</v>
      </c>
      <c r="AD16" s="23">
        <v>18857</v>
      </c>
      <c r="AE16" s="8">
        <f t="shared" si="8"/>
        <v>0</v>
      </c>
      <c r="AF16" s="23">
        <v>1282.5</v>
      </c>
      <c r="AG16" s="23">
        <v>0</v>
      </c>
      <c r="AH16" s="36">
        <f t="shared" si="9"/>
        <v>280</v>
      </c>
      <c r="AI16" s="21">
        <f t="shared" si="10"/>
        <v>93.599999999999</v>
      </c>
      <c r="AJ16" s="22">
        <f t="shared" si="11"/>
        <v>186.400000000001</v>
      </c>
      <c r="AK16" s="17">
        <f t="shared" si="12"/>
        <v>212.15000000000327</v>
      </c>
      <c r="AL16" s="30">
        <f t="shared" si="13"/>
        <v>398.55000000000427</v>
      </c>
    </row>
    <row r="17" spans="1:38" ht="25.5" customHeight="1">
      <c r="A17" s="39" t="s">
        <v>230</v>
      </c>
      <c r="B17" s="23">
        <v>17.518999999999998</v>
      </c>
      <c r="C17" s="23">
        <v>98.5</v>
      </c>
      <c r="D17" s="23">
        <v>1163.6099999999999</v>
      </c>
      <c r="E17" s="23">
        <v>306.14999999999998</v>
      </c>
      <c r="F17" s="23">
        <v>0.78200000000000003</v>
      </c>
      <c r="G17" s="23">
        <v>0.60799999999999998</v>
      </c>
      <c r="H17" s="23">
        <v>40</v>
      </c>
      <c r="I17" s="5">
        <f t="shared" si="0"/>
        <v>98.000000000001819</v>
      </c>
      <c r="J17" s="6">
        <f t="shared" si="1"/>
        <v>177.60000000000218</v>
      </c>
      <c r="K17" s="23">
        <v>77621.08</v>
      </c>
      <c r="L17" s="23">
        <v>0.98499999999999999</v>
      </c>
      <c r="M17" s="7">
        <f t="shared" si="2"/>
        <v>24.520000000004075</v>
      </c>
      <c r="N17" s="23">
        <v>78</v>
      </c>
      <c r="O17" s="8">
        <f t="shared" si="3"/>
        <v>0</v>
      </c>
      <c r="P17" s="23">
        <v>521.79999999999995</v>
      </c>
      <c r="Q17" s="23">
        <v>0</v>
      </c>
      <c r="R17" s="23">
        <v>127595.51</v>
      </c>
      <c r="S17" s="23">
        <v>0.91800000000000004</v>
      </c>
      <c r="T17" s="9">
        <f t="shared" si="4"/>
        <v>0</v>
      </c>
      <c r="U17" s="10">
        <f t="shared" si="5"/>
        <v>202.12000000000626</v>
      </c>
      <c r="V17" s="35">
        <v>94</v>
      </c>
      <c r="W17" s="35">
        <v>104</v>
      </c>
      <c r="X17" s="35">
        <v>97</v>
      </c>
      <c r="Y17" s="11">
        <f t="shared" si="6"/>
        <v>295</v>
      </c>
      <c r="Z17" s="23">
        <v>65.977500000000006</v>
      </c>
      <c r="AA17" s="8">
        <f t="shared" si="7"/>
        <v>0</v>
      </c>
      <c r="AB17" s="23">
        <v>3039.3</v>
      </c>
      <c r="AC17" s="23">
        <v>0</v>
      </c>
      <c r="AD17" s="23">
        <v>18857</v>
      </c>
      <c r="AE17" s="8">
        <f t="shared" si="8"/>
        <v>0</v>
      </c>
      <c r="AF17" s="23">
        <v>1282.5</v>
      </c>
      <c r="AG17" s="23">
        <v>0</v>
      </c>
      <c r="AH17" s="36">
        <f t="shared" si="9"/>
        <v>295</v>
      </c>
      <c r="AI17" s="21">
        <f t="shared" si="10"/>
        <v>98.000000000001819</v>
      </c>
      <c r="AJ17" s="22">
        <f t="shared" si="11"/>
        <v>196.99999999999818</v>
      </c>
      <c r="AK17" s="17">
        <f t="shared" si="12"/>
        <v>202.12000000000626</v>
      </c>
      <c r="AL17" s="30">
        <f t="shared" si="13"/>
        <v>399.12000000000444</v>
      </c>
    </row>
    <row r="18" spans="1:38" ht="25.5" customHeight="1">
      <c r="A18" s="39" t="s">
        <v>231</v>
      </c>
      <c r="B18" s="23">
        <v>17.625</v>
      </c>
      <c r="C18" s="23">
        <v>103.8</v>
      </c>
      <c r="D18" s="23">
        <v>1168.05</v>
      </c>
      <c r="E18" s="23">
        <v>308.60000000000002</v>
      </c>
      <c r="F18" s="23">
        <v>0.78200000000000003</v>
      </c>
      <c r="G18" s="23">
        <v>0.61499999999999999</v>
      </c>
      <c r="H18" s="23">
        <v>40</v>
      </c>
      <c r="I18" s="5">
        <f t="shared" si="0"/>
        <v>43.999999999998636</v>
      </c>
      <c r="J18" s="6">
        <f t="shared" si="1"/>
        <v>275.20000000000437</v>
      </c>
      <c r="K18" s="23">
        <v>77645.600000000006</v>
      </c>
      <c r="L18" s="23">
        <v>0.98499999999999999</v>
      </c>
      <c r="M18" s="7">
        <f t="shared" si="2"/>
        <v>16.720000000001164</v>
      </c>
      <c r="N18" s="23">
        <v>78</v>
      </c>
      <c r="O18" s="8">
        <f t="shared" si="3"/>
        <v>0</v>
      </c>
      <c r="P18" s="23">
        <v>521.79999999999995</v>
      </c>
      <c r="Q18" s="23">
        <v>0</v>
      </c>
      <c r="R18" s="23">
        <v>127595.51</v>
      </c>
      <c r="S18" s="23">
        <v>0.91800000000000004</v>
      </c>
      <c r="T18" s="9">
        <f t="shared" si="4"/>
        <v>0</v>
      </c>
      <c r="U18" s="10">
        <f t="shared" si="5"/>
        <v>291.92000000000553</v>
      </c>
      <c r="V18" s="35">
        <v>85</v>
      </c>
      <c r="W18" s="35">
        <v>79</v>
      </c>
      <c r="X18" s="35">
        <v>76</v>
      </c>
      <c r="Y18" s="11">
        <f t="shared" si="6"/>
        <v>240</v>
      </c>
      <c r="Z18" s="23">
        <v>65.977500000000006</v>
      </c>
      <c r="AA18" s="8">
        <f t="shared" si="7"/>
        <v>0</v>
      </c>
      <c r="AB18" s="23">
        <v>3039.33</v>
      </c>
      <c r="AC18" s="23">
        <v>0</v>
      </c>
      <c r="AD18" s="23">
        <v>18857</v>
      </c>
      <c r="AE18" s="8">
        <f t="shared" si="8"/>
        <v>0</v>
      </c>
      <c r="AF18" s="23">
        <v>1282.5</v>
      </c>
      <c r="AG18" s="23">
        <v>0</v>
      </c>
      <c r="AH18" s="36">
        <f t="shared" si="9"/>
        <v>240</v>
      </c>
      <c r="AI18" s="21">
        <f t="shared" si="10"/>
        <v>43.999999999998636</v>
      </c>
      <c r="AJ18" s="22">
        <f t="shared" si="11"/>
        <v>196.00000000000136</v>
      </c>
      <c r="AK18" s="17">
        <f t="shared" si="12"/>
        <v>291.92000000000553</v>
      </c>
      <c r="AL18" s="30">
        <f t="shared" si="13"/>
        <v>487.92000000000689</v>
      </c>
    </row>
    <row r="19" spans="1:38" ht="25.5" customHeight="1">
      <c r="A19" s="39" t="s">
        <v>232</v>
      </c>
      <c r="B19" s="23">
        <v>17.731000000000002</v>
      </c>
      <c r="C19" s="23">
        <v>108.7</v>
      </c>
      <c r="D19" s="23">
        <v>1174.93</v>
      </c>
      <c r="E19" s="23">
        <v>309.7</v>
      </c>
      <c r="F19" s="23">
        <v>0.78200000000000003</v>
      </c>
      <c r="G19" s="23">
        <v>0.61199999999999999</v>
      </c>
      <c r="H19" s="23">
        <v>40</v>
      </c>
      <c r="I19" s="5">
        <f t="shared" si="0"/>
        <v>51.200000000001182</v>
      </c>
      <c r="J19" s="6">
        <f t="shared" si="1"/>
        <v>272.39999999999782</v>
      </c>
      <c r="K19" s="23">
        <v>77662.320000000007</v>
      </c>
      <c r="L19" s="23">
        <v>0.98499999999999999</v>
      </c>
      <c r="M19" s="7">
        <f t="shared" si="2"/>
        <v>20.219999999986612</v>
      </c>
      <c r="N19" s="23">
        <v>78</v>
      </c>
      <c r="O19" s="8">
        <f t="shared" si="3"/>
        <v>0</v>
      </c>
      <c r="P19" s="23">
        <v>521.79999999999995</v>
      </c>
      <c r="Q19" s="23">
        <v>0</v>
      </c>
      <c r="R19" s="23">
        <v>127595.51</v>
      </c>
      <c r="S19" s="23">
        <v>0.91800000000000004</v>
      </c>
      <c r="T19" s="9">
        <f t="shared" si="4"/>
        <v>0</v>
      </c>
      <c r="U19" s="10">
        <f t="shared" si="5"/>
        <v>292.61999999998443</v>
      </c>
      <c r="V19" s="35">
        <v>66</v>
      </c>
      <c r="W19" s="35">
        <v>70</v>
      </c>
      <c r="X19" s="35">
        <v>59</v>
      </c>
      <c r="Y19" s="11">
        <f t="shared" si="6"/>
        <v>195</v>
      </c>
      <c r="Z19" s="23">
        <v>65.977500000000006</v>
      </c>
      <c r="AA19" s="8">
        <f t="shared" si="7"/>
        <v>0</v>
      </c>
      <c r="AB19" s="23">
        <v>3039.35</v>
      </c>
      <c r="AC19" s="23">
        <v>0</v>
      </c>
      <c r="AD19" s="23">
        <v>18857</v>
      </c>
      <c r="AE19" s="8">
        <f t="shared" si="8"/>
        <v>5</v>
      </c>
      <c r="AF19" s="23">
        <v>1282.5</v>
      </c>
      <c r="AG19" s="23">
        <v>0</v>
      </c>
      <c r="AH19" s="36">
        <f t="shared" si="9"/>
        <v>195</v>
      </c>
      <c r="AI19" s="21">
        <f t="shared" si="10"/>
        <v>51.200000000001182</v>
      </c>
      <c r="AJ19" s="22">
        <f t="shared" si="11"/>
        <v>143.79999999999882</v>
      </c>
      <c r="AK19" s="17">
        <f t="shared" si="12"/>
        <v>297.61999999998443</v>
      </c>
      <c r="AL19" s="30">
        <f t="shared" si="13"/>
        <v>441.41999999998325</v>
      </c>
    </row>
    <row r="20" spans="1:38" ht="25.5" customHeight="1">
      <c r="A20" s="39" t="s">
        <v>233</v>
      </c>
      <c r="B20" s="23">
        <v>17.864000000000001</v>
      </c>
      <c r="C20" s="23">
        <v>132.5</v>
      </c>
      <c r="D20" s="23">
        <v>1181.74</v>
      </c>
      <c r="E20" s="23">
        <v>310.98</v>
      </c>
      <c r="F20" s="23">
        <v>0.78200000000000003</v>
      </c>
      <c r="G20" s="23">
        <v>0.60799999999999998</v>
      </c>
      <c r="H20" s="23">
        <v>40</v>
      </c>
      <c r="I20" s="5">
        <f t="shared" si="0"/>
        <v>93.999999999998636</v>
      </c>
      <c r="J20" s="6">
        <f t="shared" si="1"/>
        <v>416.80000000000291</v>
      </c>
      <c r="K20" s="23">
        <v>77682.539999999994</v>
      </c>
      <c r="L20" s="23">
        <v>0.98599999999999999</v>
      </c>
      <c r="M20" s="7">
        <f t="shared" si="2"/>
        <v>30.650000000008731</v>
      </c>
      <c r="N20" s="23">
        <v>78</v>
      </c>
      <c r="O20" s="8">
        <f t="shared" si="3"/>
        <v>0</v>
      </c>
      <c r="P20" s="23">
        <v>522</v>
      </c>
      <c r="Q20" s="23">
        <v>0</v>
      </c>
      <c r="R20" s="23">
        <v>127595.51</v>
      </c>
      <c r="S20" s="23">
        <v>0.91800000000000004</v>
      </c>
      <c r="T20" s="9">
        <f t="shared" si="4"/>
        <v>0</v>
      </c>
      <c r="U20" s="10">
        <f t="shared" si="5"/>
        <v>447.45000000001164</v>
      </c>
      <c r="V20" s="35">
        <v>67</v>
      </c>
      <c r="W20" s="35">
        <v>80</v>
      </c>
      <c r="X20" s="35">
        <v>77</v>
      </c>
      <c r="Y20" s="11">
        <f t="shared" si="6"/>
        <v>224</v>
      </c>
      <c r="Z20" s="23">
        <v>65.977500000000006</v>
      </c>
      <c r="AA20" s="8">
        <f t="shared" si="7"/>
        <v>0</v>
      </c>
      <c r="AB20" s="23">
        <v>3039.38</v>
      </c>
      <c r="AC20" s="23">
        <v>0</v>
      </c>
      <c r="AD20" s="23">
        <v>18862</v>
      </c>
      <c r="AE20" s="8">
        <f t="shared" si="8"/>
        <v>16</v>
      </c>
      <c r="AF20" s="23">
        <v>1282.9000000000001</v>
      </c>
      <c r="AG20" s="23">
        <v>0</v>
      </c>
      <c r="AH20" s="36">
        <f t="shared" si="9"/>
        <v>224</v>
      </c>
      <c r="AI20" s="21">
        <f t="shared" si="10"/>
        <v>93.999999999998636</v>
      </c>
      <c r="AJ20" s="22">
        <f t="shared" si="11"/>
        <v>130.00000000000136</v>
      </c>
      <c r="AK20" s="17">
        <f t="shared" si="12"/>
        <v>463.45000000001164</v>
      </c>
      <c r="AL20" s="30">
        <f t="shared" si="13"/>
        <v>593.45000000001301</v>
      </c>
    </row>
    <row r="21" spans="1:38" ht="25.5" customHeight="1">
      <c r="A21" s="39" t="s">
        <v>234</v>
      </c>
      <c r="B21" s="23">
        <v>18.068999999999999</v>
      </c>
      <c r="C21" s="23">
        <v>205.14</v>
      </c>
      <c r="D21" s="23">
        <v>1192.1600000000001</v>
      </c>
      <c r="E21" s="23">
        <v>313.33</v>
      </c>
      <c r="F21" s="23">
        <v>0.78500000000000003</v>
      </c>
      <c r="G21" s="23">
        <v>0.61199999999999999</v>
      </c>
      <c r="H21" s="23">
        <v>40</v>
      </c>
      <c r="I21" s="5">
        <f t="shared" si="0"/>
        <v>60.800000000001546</v>
      </c>
      <c r="J21" s="6">
        <f t="shared" si="1"/>
        <v>244.399999999996</v>
      </c>
      <c r="K21" s="23">
        <v>77713.19</v>
      </c>
      <c r="L21" s="23">
        <v>0.98499999999999999</v>
      </c>
      <c r="M21" s="7">
        <f t="shared" si="2"/>
        <v>8.9599999999918509</v>
      </c>
      <c r="N21" s="23">
        <v>78</v>
      </c>
      <c r="O21" s="8">
        <f t="shared" si="3"/>
        <v>0</v>
      </c>
      <c r="P21" s="23">
        <v>522</v>
      </c>
      <c r="Q21" s="23">
        <v>0</v>
      </c>
      <c r="R21" s="23">
        <v>127595.51</v>
      </c>
      <c r="S21" s="23">
        <v>0.91800000000000004</v>
      </c>
      <c r="T21" s="9">
        <f t="shared" si="4"/>
        <v>0</v>
      </c>
      <c r="U21" s="10">
        <f t="shared" si="5"/>
        <v>253.35999999998785</v>
      </c>
      <c r="V21" s="35">
        <v>58</v>
      </c>
      <c r="W21" s="35">
        <v>67</v>
      </c>
      <c r="X21" s="35">
        <v>64</v>
      </c>
      <c r="Y21" s="11">
        <f t="shared" si="6"/>
        <v>189</v>
      </c>
      <c r="Z21" s="23">
        <v>65.977500000000006</v>
      </c>
      <c r="AA21" s="8">
        <f t="shared" si="7"/>
        <v>6.1099999999996157E-2</v>
      </c>
      <c r="AB21" s="23">
        <v>3041.22</v>
      </c>
      <c r="AC21" s="23">
        <v>0</v>
      </c>
      <c r="AD21" s="23">
        <v>18878</v>
      </c>
      <c r="AE21" s="8">
        <f t="shared" si="8"/>
        <v>1</v>
      </c>
      <c r="AF21" s="23">
        <v>12846</v>
      </c>
      <c r="AG21" s="23">
        <v>0</v>
      </c>
      <c r="AH21" s="36">
        <f t="shared" si="9"/>
        <v>189</v>
      </c>
      <c r="AI21" s="21">
        <f t="shared" si="10"/>
        <v>60.800000000001546</v>
      </c>
      <c r="AJ21" s="22">
        <f t="shared" si="11"/>
        <v>128.19999999999845</v>
      </c>
      <c r="AK21" s="17">
        <f t="shared" si="12"/>
        <v>254.42109999998786</v>
      </c>
      <c r="AL21" s="30">
        <f t="shared" si="13"/>
        <v>382.62109999998631</v>
      </c>
    </row>
    <row r="22" spans="1:38" ht="25.5" customHeight="1">
      <c r="A22" s="39" t="s">
        <v>235</v>
      </c>
      <c r="B22" s="23">
        <v>18.170999999999999</v>
      </c>
      <c r="C22" s="23">
        <v>107.3</v>
      </c>
      <c r="D22" s="23">
        <v>1198.27</v>
      </c>
      <c r="E22" s="23">
        <v>314.85000000000002</v>
      </c>
      <c r="F22" s="23">
        <v>0.78500000000000003</v>
      </c>
      <c r="G22" s="23">
        <v>0.61099999999999999</v>
      </c>
      <c r="H22" s="23">
        <v>40</v>
      </c>
      <c r="I22" s="5">
        <f t="shared" si="0"/>
        <v>118.79999999999882</v>
      </c>
      <c r="J22" s="6">
        <f t="shared" si="1"/>
        <v>151.99999999999818</v>
      </c>
      <c r="K22" s="23">
        <v>77722.149999999994</v>
      </c>
      <c r="L22" s="23">
        <v>0.98599999999999999</v>
      </c>
      <c r="M22" s="7">
        <f t="shared" si="2"/>
        <v>5</v>
      </c>
      <c r="N22" s="23">
        <v>78</v>
      </c>
      <c r="O22" s="8">
        <f t="shared" si="3"/>
        <v>0</v>
      </c>
      <c r="P22" s="23">
        <v>523.6</v>
      </c>
      <c r="Q22" s="23">
        <v>0</v>
      </c>
      <c r="R22" s="23">
        <v>127595.51</v>
      </c>
      <c r="S22" s="23">
        <v>0.91800000000000004</v>
      </c>
      <c r="T22" s="9">
        <f t="shared" si="4"/>
        <v>0</v>
      </c>
      <c r="U22" s="10">
        <f t="shared" si="5"/>
        <v>156.99999999999818</v>
      </c>
      <c r="V22" s="35">
        <v>81</v>
      </c>
      <c r="W22" s="35">
        <v>89</v>
      </c>
      <c r="X22" s="35">
        <v>100</v>
      </c>
      <c r="Y22" s="11">
        <f t="shared" si="6"/>
        <v>270</v>
      </c>
      <c r="Z22" s="23">
        <v>66.038600000000002</v>
      </c>
      <c r="AA22" s="8">
        <f t="shared" si="7"/>
        <v>0</v>
      </c>
      <c r="AB22" s="23">
        <v>3041.23</v>
      </c>
      <c r="AC22" s="23">
        <v>0</v>
      </c>
      <c r="AD22" s="23">
        <v>18879</v>
      </c>
      <c r="AE22" s="8">
        <f t="shared" si="8"/>
        <v>0</v>
      </c>
      <c r="AF22" s="23">
        <v>1284.5999999999999</v>
      </c>
      <c r="AG22" s="23">
        <v>0</v>
      </c>
      <c r="AH22" s="36">
        <f t="shared" si="9"/>
        <v>270</v>
      </c>
      <c r="AI22" s="21">
        <f t="shared" si="10"/>
        <v>118.79999999999882</v>
      </c>
      <c r="AJ22" s="22">
        <f t="shared" si="11"/>
        <v>151.20000000000118</v>
      </c>
      <c r="AK22" s="17">
        <f t="shared" si="12"/>
        <v>156.99999999999818</v>
      </c>
      <c r="AL22" s="30">
        <f t="shared" si="13"/>
        <v>308.19999999999936</v>
      </c>
    </row>
    <row r="23" spans="1:38" ht="25.5" customHeight="1">
      <c r="A23" s="39" t="s">
        <v>236</v>
      </c>
      <c r="B23" s="23">
        <v>18.242999999999999</v>
      </c>
      <c r="C23" s="23">
        <v>66</v>
      </c>
      <c r="D23" s="23">
        <v>1202.07</v>
      </c>
      <c r="E23" s="23">
        <v>317.82</v>
      </c>
      <c r="F23" s="23">
        <v>0.78500000000000003</v>
      </c>
      <c r="G23" s="23">
        <v>0.626</v>
      </c>
      <c r="H23" s="23">
        <v>40</v>
      </c>
      <c r="I23" s="5">
        <f t="shared" si="0"/>
        <v>94.000000000000909</v>
      </c>
      <c r="J23" s="6">
        <f t="shared" si="1"/>
        <v>179.20000000000073</v>
      </c>
      <c r="K23" s="23">
        <v>77727.149999999994</v>
      </c>
      <c r="L23" s="23">
        <v>0.98499999999999999</v>
      </c>
      <c r="M23" s="7">
        <f t="shared" si="2"/>
        <v>5.1000000000058208</v>
      </c>
      <c r="N23" s="23">
        <v>78</v>
      </c>
      <c r="O23" s="8">
        <f t="shared" si="3"/>
        <v>0</v>
      </c>
      <c r="P23" s="23">
        <v>524.4</v>
      </c>
      <c r="Q23" s="23">
        <v>0</v>
      </c>
      <c r="R23" s="23">
        <v>127595.51</v>
      </c>
      <c r="S23" s="23">
        <v>0.91800000000000004</v>
      </c>
      <c r="T23" s="9">
        <f t="shared" si="4"/>
        <v>0</v>
      </c>
      <c r="U23" s="10">
        <f t="shared" si="5"/>
        <v>184.30000000000655</v>
      </c>
      <c r="V23" s="35">
        <v>92</v>
      </c>
      <c r="W23" s="35">
        <v>94</v>
      </c>
      <c r="X23" s="35">
        <v>91</v>
      </c>
      <c r="Y23" s="11">
        <f t="shared" si="6"/>
        <v>277</v>
      </c>
      <c r="Z23" s="23">
        <v>66.038600000000002</v>
      </c>
      <c r="AA23" s="8">
        <f t="shared" si="7"/>
        <v>0</v>
      </c>
      <c r="AB23" s="23">
        <v>3041.24</v>
      </c>
      <c r="AC23" s="23">
        <v>0</v>
      </c>
      <c r="AD23" s="23">
        <v>18879</v>
      </c>
      <c r="AE23" s="8">
        <f t="shared" si="8"/>
        <v>0</v>
      </c>
      <c r="AF23" s="23">
        <v>1284.7</v>
      </c>
      <c r="AG23" s="23">
        <v>0</v>
      </c>
      <c r="AH23" s="36">
        <f t="shared" si="9"/>
        <v>277</v>
      </c>
      <c r="AI23" s="21">
        <f t="shared" si="10"/>
        <v>94.000000000000909</v>
      </c>
      <c r="AJ23" s="22">
        <f t="shared" si="11"/>
        <v>182.99999999999909</v>
      </c>
      <c r="AK23" s="17">
        <f t="shared" si="12"/>
        <v>184.30000000000655</v>
      </c>
      <c r="AL23" s="30">
        <f t="shared" si="13"/>
        <v>367.30000000000564</v>
      </c>
    </row>
    <row r="24" spans="1:38" ht="25.5" customHeight="1">
      <c r="A24" s="39" t="s">
        <v>237</v>
      </c>
      <c r="B24" s="23">
        <v>18.332999999999998</v>
      </c>
      <c r="C24" s="23">
        <v>90.6</v>
      </c>
      <c r="D24" s="23">
        <v>1206.55</v>
      </c>
      <c r="E24" s="23">
        <v>320.17</v>
      </c>
      <c r="F24" s="23">
        <v>0.78400000000000003</v>
      </c>
      <c r="G24" s="23">
        <v>0.626</v>
      </c>
      <c r="H24" s="23">
        <v>40</v>
      </c>
      <c r="I24" s="5">
        <f t="shared" si="0"/>
        <v>100.39999999999964</v>
      </c>
      <c r="J24" s="6">
        <f t="shared" si="1"/>
        <v>176.80000000000291</v>
      </c>
      <c r="K24" s="23">
        <v>77732.25</v>
      </c>
      <c r="L24" s="23">
        <v>0.98599999999999999</v>
      </c>
      <c r="M24" s="7">
        <f t="shared" si="2"/>
        <v>6.1199999999953434</v>
      </c>
      <c r="N24" s="23">
        <v>78</v>
      </c>
      <c r="O24" s="8">
        <f t="shared" si="3"/>
        <v>0</v>
      </c>
      <c r="P24" s="23">
        <v>524.5</v>
      </c>
      <c r="Q24" s="23">
        <v>0</v>
      </c>
      <c r="R24" s="23">
        <v>127595.51</v>
      </c>
      <c r="S24" s="23">
        <v>0.91800000000000004</v>
      </c>
      <c r="T24" s="9">
        <f t="shared" si="4"/>
        <v>0</v>
      </c>
      <c r="U24" s="10">
        <f t="shared" si="5"/>
        <v>182.91999999999825</v>
      </c>
      <c r="V24" s="35">
        <v>85</v>
      </c>
      <c r="W24" s="35">
        <v>90</v>
      </c>
      <c r="X24" s="35">
        <v>83</v>
      </c>
      <c r="Y24" s="11">
        <f t="shared" si="6"/>
        <v>258</v>
      </c>
      <c r="Z24" s="23">
        <v>66.038600000000002</v>
      </c>
      <c r="AA24" s="8">
        <f t="shared" si="7"/>
        <v>0</v>
      </c>
      <c r="AB24" s="23">
        <v>3041.24</v>
      </c>
      <c r="AC24" s="23">
        <v>0</v>
      </c>
      <c r="AD24" s="23">
        <v>18879</v>
      </c>
      <c r="AE24" s="8">
        <f t="shared" si="8"/>
        <v>0</v>
      </c>
      <c r="AF24" s="23">
        <v>1284.7</v>
      </c>
      <c r="AG24" s="23">
        <v>0</v>
      </c>
      <c r="AH24" s="36">
        <f t="shared" si="9"/>
        <v>258</v>
      </c>
      <c r="AI24" s="21">
        <f t="shared" si="10"/>
        <v>100.39999999999964</v>
      </c>
      <c r="AJ24" s="22">
        <f t="shared" si="11"/>
        <v>157.60000000000036</v>
      </c>
      <c r="AK24" s="17">
        <f t="shared" si="12"/>
        <v>182.91999999999825</v>
      </c>
      <c r="AL24" s="30">
        <f t="shared" si="13"/>
        <v>340.51999999999862</v>
      </c>
    </row>
    <row r="25" spans="1:38" ht="25.5" customHeight="1">
      <c r="A25" s="39" t="s">
        <v>238</v>
      </c>
      <c r="B25" s="23">
        <v>18.422000000000001</v>
      </c>
      <c r="C25" s="23">
        <v>88.9</v>
      </c>
      <c r="D25" s="23">
        <v>1210.97</v>
      </c>
      <c r="E25" s="23">
        <v>322.68</v>
      </c>
      <c r="F25" s="23">
        <v>0.78300000000000003</v>
      </c>
      <c r="G25" s="23">
        <v>0.63</v>
      </c>
      <c r="H25" s="23">
        <v>40</v>
      </c>
      <c r="I25" s="5">
        <f t="shared" si="0"/>
        <v>81.600000000000819</v>
      </c>
      <c r="J25" s="6">
        <f t="shared" si="1"/>
        <v>213.19999999999709</v>
      </c>
      <c r="K25" s="23">
        <v>77738.37</v>
      </c>
      <c r="L25" s="23">
        <v>0.98499999999999999</v>
      </c>
      <c r="M25" s="7">
        <f t="shared" si="2"/>
        <v>7.8800000000046566</v>
      </c>
      <c r="N25" s="23">
        <v>78</v>
      </c>
      <c r="O25" s="8">
        <f t="shared" si="3"/>
        <v>0</v>
      </c>
      <c r="P25" s="23">
        <v>524.5</v>
      </c>
      <c r="Q25" s="23">
        <v>0</v>
      </c>
      <c r="R25" s="23">
        <v>127595.51</v>
      </c>
      <c r="S25" s="23">
        <v>0.91800000000000004</v>
      </c>
      <c r="T25" s="9">
        <f t="shared" si="4"/>
        <v>0</v>
      </c>
      <c r="U25" s="10">
        <f t="shared" si="5"/>
        <v>221.08000000000175</v>
      </c>
      <c r="V25" s="35">
        <v>71</v>
      </c>
      <c r="W25" s="35">
        <v>90</v>
      </c>
      <c r="X25" s="35">
        <v>84</v>
      </c>
      <c r="Y25" s="11">
        <f t="shared" si="6"/>
        <v>245</v>
      </c>
      <c r="Z25" s="23">
        <v>66.038600000000002</v>
      </c>
      <c r="AA25" s="8">
        <f t="shared" si="7"/>
        <v>0</v>
      </c>
      <c r="AB25" s="23">
        <v>3041.26</v>
      </c>
      <c r="AC25" s="23">
        <v>0</v>
      </c>
      <c r="AD25" s="23">
        <v>18879</v>
      </c>
      <c r="AE25" s="8">
        <f t="shared" si="8"/>
        <v>5</v>
      </c>
      <c r="AF25" s="23">
        <v>1284.8</v>
      </c>
      <c r="AG25" s="23">
        <v>0</v>
      </c>
      <c r="AH25" s="36">
        <f t="shared" si="9"/>
        <v>245</v>
      </c>
      <c r="AI25" s="21">
        <f t="shared" si="10"/>
        <v>81.600000000000819</v>
      </c>
      <c r="AJ25" s="22">
        <f t="shared" si="11"/>
        <v>163.39999999999918</v>
      </c>
      <c r="AK25" s="17">
        <f t="shared" si="12"/>
        <v>226.08000000000175</v>
      </c>
      <c r="AL25" s="30">
        <f t="shared" si="13"/>
        <v>389.48000000000093</v>
      </c>
    </row>
    <row r="26" spans="1:38" ht="25.5" customHeight="1">
      <c r="A26" s="39" t="s">
        <v>239</v>
      </c>
      <c r="B26" s="23">
        <v>18.510999999999999</v>
      </c>
      <c r="C26" s="23">
        <v>88.7</v>
      </c>
      <c r="D26" s="23">
        <v>1216.3</v>
      </c>
      <c r="E26" s="23">
        <v>324.72000000000003</v>
      </c>
      <c r="F26" s="23">
        <v>0.78400000000000003</v>
      </c>
      <c r="G26" s="23">
        <v>0.629</v>
      </c>
      <c r="H26" s="23">
        <v>40</v>
      </c>
      <c r="I26" s="5">
        <f t="shared" si="0"/>
        <v>224.39999999999827</v>
      </c>
      <c r="J26" s="6">
        <f t="shared" si="1"/>
        <v>340.39999999999964</v>
      </c>
      <c r="K26" s="23">
        <v>77746.25</v>
      </c>
      <c r="L26" s="23">
        <v>0.98499999999999999</v>
      </c>
      <c r="M26" s="7">
        <f t="shared" si="2"/>
        <v>7.6399999999994179</v>
      </c>
      <c r="N26" s="23">
        <v>78</v>
      </c>
      <c r="O26" s="8">
        <f t="shared" si="3"/>
        <v>2</v>
      </c>
      <c r="P26" s="23">
        <v>524.5</v>
      </c>
      <c r="Q26" s="23">
        <v>0</v>
      </c>
      <c r="R26" s="23">
        <v>127595.51</v>
      </c>
      <c r="S26" s="23">
        <v>0.91800000000000004</v>
      </c>
      <c r="T26" s="9">
        <f t="shared" si="4"/>
        <v>0</v>
      </c>
      <c r="U26" s="10">
        <f t="shared" si="5"/>
        <v>350.03999999999905</v>
      </c>
      <c r="V26" s="35">
        <v>87</v>
      </c>
      <c r="W26" s="35">
        <v>89</v>
      </c>
      <c r="X26" s="35">
        <v>74</v>
      </c>
      <c r="Y26" s="11">
        <f t="shared" si="6"/>
        <v>250</v>
      </c>
      <c r="Z26" s="23">
        <v>66.038600000000002</v>
      </c>
      <c r="AA26" s="8">
        <f t="shared" si="7"/>
        <v>0</v>
      </c>
      <c r="AB26" s="23">
        <v>3041.29</v>
      </c>
      <c r="AC26" s="23">
        <v>0</v>
      </c>
      <c r="AD26" s="23">
        <v>18884</v>
      </c>
      <c r="AE26" s="8">
        <f t="shared" si="8"/>
        <v>0</v>
      </c>
      <c r="AF26" s="23">
        <v>1285.3</v>
      </c>
      <c r="AG26" s="23">
        <v>0</v>
      </c>
      <c r="AH26" s="36">
        <f t="shared" si="9"/>
        <v>250</v>
      </c>
      <c r="AI26" s="21">
        <f t="shared" si="10"/>
        <v>224.39999999999827</v>
      </c>
      <c r="AJ26" s="22">
        <f t="shared" si="11"/>
        <v>25.600000000001728</v>
      </c>
      <c r="AK26" s="17">
        <f t="shared" si="12"/>
        <v>350.03999999999905</v>
      </c>
      <c r="AL26" s="30">
        <f t="shared" si="13"/>
        <v>375.64000000000078</v>
      </c>
    </row>
    <row r="27" spans="1:38" ht="25.5" customHeight="1">
      <c r="A27" s="39" t="s">
        <v>240</v>
      </c>
      <c r="B27" s="23">
        <v>18.689</v>
      </c>
      <c r="C27" s="23">
        <v>178</v>
      </c>
      <c r="D27" s="23">
        <v>1224.81</v>
      </c>
      <c r="E27" s="23">
        <v>330.33</v>
      </c>
      <c r="F27" s="23">
        <v>0.84299999999999997</v>
      </c>
      <c r="G27" s="23">
        <v>0.74</v>
      </c>
      <c r="H27" s="23">
        <v>40</v>
      </c>
      <c r="I27" s="5"/>
      <c r="J27" s="6"/>
      <c r="K27" s="23">
        <v>77753.89</v>
      </c>
      <c r="L27" s="23">
        <v>0.98599999999999999</v>
      </c>
      <c r="M27" s="7"/>
      <c r="N27" s="23">
        <v>80</v>
      </c>
      <c r="O27" s="8"/>
      <c r="P27" s="23">
        <v>524.5</v>
      </c>
      <c r="Q27" s="23">
        <v>0</v>
      </c>
      <c r="R27" s="23">
        <v>127595.51</v>
      </c>
      <c r="S27" s="23">
        <v>0.91800000000000004</v>
      </c>
      <c r="T27" s="9"/>
      <c r="U27" s="10"/>
      <c r="V27" s="35"/>
      <c r="W27" s="35"/>
      <c r="X27" s="35"/>
      <c r="Y27" s="11"/>
      <c r="Z27" s="23">
        <v>66.038600000000002</v>
      </c>
      <c r="AA27" s="8"/>
      <c r="AB27" s="23">
        <v>3041.31</v>
      </c>
      <c r="AC27" s="23">
        <v>0</v>
      </c>
      <c r="AD27" s="23">
        <v>18884</v>
      </c>
      <c r="AE27" s="8"/>
      <c r="AF27" s="23">
        <v>1285.3</v>
      </c>
      <c r="AG27" s="23">
        <v>0</v>
      </c>
      <c r="AH27" s="36"/>
      <c r="AI27" s="21"/>
      <c r="AJ27" s="22"/>
      <c r="AK27" s="17"/>
      <c r="AL27" s="30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2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39" t="s">
        <v>240</v>
      </c>
      <c r="B3" s="23">
        <v>18.689</v>
      </c>
      <c r="C3" s="23">
        <v>178</v>
      </c>
      <c r="D3" s="23">
        <v>1224.81</v>
      </c>
      <c r="E3" s="23">
        <v>330.33</v>
      </c>
      <c r="F3" s="23">
        <v>0.84299999999999997</v>
      </c>
      <c r="G3" s="23">
        <v>0.74</v>
      </c>
      <c r="H3" s="23">
        <v>40</v>
      </c>
      <c r="I3" s="5">
        <f t="shared" ref="I3:I27" si="0">(E4-E3)*40</f>
        <v>92.400000000000091</v>
      </c>
      <c r="J3" s="6">
        <f t="shared" ref="J3:J27" si="1">(D4-D3)*40</f>
        <v>203.20000000000618</v>
      </c>
      <c r="K3" s="23">
        <v>77753.89</v>
      </c>
      <c r="L3" s="23">
        <v>0.98599999999999999</v>
      </c>
      <c r="M3" s="7">
        <f t="shared" ref="M3:M27" si="2">(K4-K3)</f>
        <v>5.3600000000005821</v>
      </c>
      <c r="N3" s="23">
        <v>80</v>
      </c>
      <c r="O3" s="8">
        <f t="shared" ref="O3:O27" si="3">(N4-N3)</f>
        <v>0</v>
      </c>
      <c r="P3" s="23">
        <v>524.5</v>
      </c>
      <c r="Q3" s="23">
        <v>0</v>
      </c>
      <c r="R3" s="23">
        <v>127595.51</v>
      </c>
      <c r="S3" s="23">
        <v>0.91800000000000004</v>
      </c>
      <c r="T3" s="9">
        <f t="shared" ref="T3:T27" si="4">(R4-R3)</f>
        <v>0</v>
      </c>
      <c r="U3" s="10">
        <f t="shared" ref="U3:U27" si="5">(J3+M3+O3+T3)</f>
        <v>208.56000000000677</v>
      </c>
      <c r="V3" s="35">
        <v>84</v>
      </c>
      <c r="W3" s="35">
        <v>100</v>
      </c>
      <c r="X3" s="35">
        <v>96</v>
      </c>
      <c r="Y3" s="11">
        <f t="shared" ref="Y3:Y22" si="6">SUM(V3:X3)</f>
        <v>280</v>
      </c>
      <c r="Z3" s="23">
        <v>66.037999999999997</v>
      </c>
      <c r="AA3" s="8">
        <f t="shared" ref="AA3:AA27" si="7">(Z4-Z3)</f>
        <v>0</v>
      </c>
      <c r="AB3" s="23">
        <v>3041.31</v>
      </c>
      <c r="AC3" s="23">
        <v>0</v>
      </c>
      <c r="AD3" s="23">
        <v>18884</v>
      </c>
      <c r="AE3" s="8">
        <f t="shared" ref="AE3:AE27" si="8">(AD4-AD3)</f>
        <v>1</v>
      </c>
      <c r="AF3" s="23">
        <v>1285.3</v>
      </c>
      <c r="AG3" s="23">
        <v>0</v>
      </c>
      <c r="AH3" s="36">
        <f t="shared" ref="AH3:AH27" si="9">Y3</f>
        <v>280</v>
      </c>
      <c r="AI3" s="21">
        <f t="shared" ref="AI3:AI27" si="10">I3</f>
        <v>92.400000000000091</v>
      </c>
      <c r="AJ3" s="22">
        <f t="shared" ref="AJ3:AJ27" si="11">(AH3-AI3)</f>
        <v>187.59999999999991</v>
      </c>
      <c r="AK3" s="17">
        <f t="shared" ref="AK3:AK27" si="12">(U3+AA3+AE3)</f>
        <v>209.56000000000677</v>
      </c>
      <c r="AL3" s="30">
        <f t="shared" ref="AL3:AL27" si="13">(AJ3+AK3)</f>
        <v>397.16000000000668</v>
      </c>
    </row>
    <row r="4" spans="1:38" ht="25.5" customHeight="1">
      <c r="A4" s="39" t="s">
        <v>241</v>
      </c>
      <c r="B4" s="35">
        <v>18.812999999999999</v>
      </c>
      <c r="C4" s="35">
        <v>124</v>
      </c>
      <c r="D4" s="23">
        <v>1229.8900000000001</v>
      </c>
      <c r="E4" s="23">
        <v>332.64</v>
      </c>
      <c r="F4" s="23">
        <v>0.82299999999999995</v>
      </c>
      <c r="G4" s="23">
        <v>0.68400000000000005</v>
      </c>
      <c r="H4" s="23">
        <v>40</v>
      </c>
      <c r="I4" s="5">
        <f t="shared" si="0"/>
        <v>74.800000000000182</v>
      </c>
      <c r="J4" s="6">
        <f t="shared" si="1"/>
        <v>198.39999999999236</v>
      </c>
      <c r="K4" s="23">
        <v>77759.25</v>
      </c>
      <c r="L4" s="23">
        <v>0.98599999999999999</v>
      </c>
      <c r="M4" s="7">
        <f t="shared" si="2"/>
        <v>5.8000000000029104</v>
      </c>
      <c r="N4" s="35">
        <v>80</v>
      </c>
      <c r="O4" s="8">
        <f t="shared" si="3"/>
        <v>0</v>
      </c>
      <c r="P4" s="23">
        <v>524.5</v>
      </c>
      <c r="Q4" s="23">
        <v>0</v>
      </c>
      <c r="R4" s="23">
        <v>127595.51</v>
      </c>
      <c r="S4" s="23">
        <v>0.91800000000000004</v>
      </c>
      <c r="T4" s="9">
        <f t="shared" si="4"/>
        <v>0</v>
      </c>
      <c r="U4" s="10">
        <f t="shared" si="5"/>
        <v>204.19999999999527</v>
      </c>
      <c r="V4" s="35">
        <v>98</v>
      </c>
      <c r="W4" s="35">
        <v>115</v>
      </c>
      <c r="X4" s="35">
        <v>99</v>
      </c>
      <c r="Y4" s="11">
        <f t="shared" si="6"/>
        <v>312</v>
      </c>
      <c r="Z4" s="23">
        <v>66.037999999999997</v>
      </c>
      <c r="AA4" s="8">
        <f t="shared" si="7"/>
        <v>0</v>
      </c>
      <c r="AB4" s="23">
        <v>3041.34</v>
      </c>
      <c r="AC4" s="23">
        <v>0</v>
      </c>
      <c r="AD4" s="23">
        <v>18885</v>
      </c>
      <c r="AE4" s="8">
        <f t="shared" si="8"/>
        <v>1</v>
      </c>
      <c r="AF4" s="23">
        <v>1285.4000000000001</v>
      </c>
      <c r="AG4" s="23">
        <v>0</v>
      </c>
      <c r="AH4" s="36">
        <f t="shared" si="9"/>
        <v>312</v>
      </c>
      <c r="AI4" s="21">
        <f t="shared" si="10"/>
        <v>74.800000000000182</v>
      </c>
      <c r="AJ4" s="22">
        <f t="shared" si="11"/>
        <v>237.19999999999982</v>
      </c>
      <c r="AK4" s="17">
        <f t="shared" si="12"/>
        <v>205.19999999999527</v>
      </c>
      <c r="AL4" s="30">
        <f t="shared" si="13"/>
        <v>442.39999999999509</v>
      </c>
    </row>
    <row r="5" spans="1:38" ht="25.5" customHeight="1">
      <c r="A5" s="39" t="s">
        <v>242</v>
      </c>
      <c r="B5" s="35">
        <v>18.9513</v>
      </c>
      <c r="C5" s="35">
        <v>138</v>
      </c>
      <c r="D5" s="23">
        <v>1234.8499999999999</v>
      </c>
      <c r="E5" s="23">
        <v>334.51</v>
      </c>
      <c r="F5" s="23">
        <v>0.80200000000000005</v>
      </c>
      <c r="G5" s="23">
        <v>0.63400000000000001</v>
      </c>
      <c r="H5" s="23">
        <v>40</v>
      </c>
      <c r="I5" s="5">
        <f t="shared" si="0"/>
        <v>64.400000000000546</v>
      </c>
      <c r="J5" s="6">
        <f t="shared" si="1"/>
        <v>236.40000000000327</v>
      </c>
      <c r="K5" s="23">
        <v>77765.05</v>
      </c>
      <c r="L5" s="23">
        <v>0.98599999999999999</v>
      </c>
      <c r="M5" s="7">
        <f t="shared" si="2"/>
        <v>5.9199999999982538</v>
      </c>
      <c r="N5" s="35">
        <v>80</v>
      </c>
      <c r="O5" s="8">
        <f t="shared" si="3"/>
        <v>0</v>
      </c>
      <c r="P5" s="23">
        <v>524.5</v>
      </c>
      <c r="Q5" s="23">
        <v>0</v>
      </c>
      <c r="R5" s="23">
        <v>127595.51</v>
      </c>
      <c r="S5" s="23">
        <v>0.91800000000000004</v>
      </c>
      <c r="T5" s="9">
        <f t="shared" si="4"/>
        <v>0</v>
      </c>
      <c r="U5" s="10">
        <f t="shared" si="5"/>
        <v>242.32000000000153</v>
      </c>
      <c r="V5" s="35">
        <v>85</v>
      </c>
      <c r="W5" s="35">
        <v>86</v>
      </c>
      <c r="X5" s="35">
        <v>71</v>
      </c>
      <c r="Y5" s="11">
        <f t="shared" si="6"/>
        <v>242</v>
      </c>
      <c r="Z5" s="23">
        <v>66.037999999999997</v>
      </c>
      <c r="AA5" s="8">
        <f t="shared" si="7"/>
        <v>0</v>
      </c>
      <c r="AB5" s="23">
        <v>3041.36</v>
      </c>
      <c r="AC5" s="23">
        <v>0</v>
      </c>
      <c r="AD5" s="23">
        <v>18886</v>
      </c>
      <c r="AE5" s="8">
        <f t="shared" si="8"/>
        <v>0</v>
      </c>
      <c r="AF5" s="23">
        <v>1285.5</v>
      </c>
      <c r="AG5" s="23">
        <v>0</v>
      </c>
      <c r="AH5" s="36">
        <f t="shared" si="9"/>
        <v>242</v>
      </c>
      <c r="AI5" s="21">
        <f t="shared" si="10"/>
        <v>64.400000000000546</v>
      </c>
      <c r="AJ5" s="22">
        <f t="shared" si="11"/>
        <v>177.59999999999945</v>
      </c>
      <c r="AK5" s="17">
        <f t="shared" si="12"/>
        <v>242.32000000000153</v>
      </c>
      <c r="AL5" s="30">
        <f t="shared" si="13"/>
        <v>419.92000000000098</v>
      </c>
    </row>
    <row r="6" spans="1:38" ht="25.5" customHeight="1">
      <c r="A6" s="39" t="s">
        <v>243</v>
      </c>
      <c r="B6" s="35">
        <v>19.094000000000001</v>
      </c>
      <c r="C6" s="35">
        <v>143</v>
      </c>
      <c r="D6" s="23">
        <v>1240.76</v>
      </c>
      <c r="E6" s="23">
        <v>336.12</v>
      </c>
      <c r="F6" s="23">
        <v>0.78900000000000003</v>
      </c>
      <c r="G6" s="23">
        <v>0.623</v>
      </c>
      <c r="H6" s="23">
        <v>40</v>
      </c>
      <c r="I6" s="5">
        <f t="shared" si="0"/>
        <v>92.400000000000091</v>
      </c>
      <c r="J6" s="6">
        <f t="shared" si="1"/>
        <v>194.80000000000473</v>
      </c>
      <c r="K6" s="23">
        <v>77770.97</v>
      </c>
      <c r="L6" s="23">
        <v>0.98599999999999999</v>
      </c>
      <c r="M6" s="7">
        <f t="shared" si="2"/>
        <v>6.4900000000052387</v>
      </c>
      <c r="N6" s="23">
        <v>80</v>
      </c>
      <c r="O6" s="8">
        <f t="shared" si="3"/>
        <v>0</v>
      </c>
      <c r="P6" s="23">
        <v>524.5</v>
      </c>
      <c r="Q6" s="23">
        <v>0</v>
      </c>
      <c r="R6" s="23">
        <v>127595.51</v>
      </c>
      <c r="S6" s="23">
        <v>0.91800000000000004</v>
      </c>
      <c r="T6" s="9">
        <f t="shared" si="4"/>
        <v>0</v>
      </c>
      <c r="U6" s="10">
        <f t="shared" si="5"/>
        <v>201.29000000000997</v>
      </c>
      <c r="V6" s="35">
        <v>110</v>
      </c>
      <c r="W6" s="35">
        <v>113</v>
      </c>
      <c r="X6" s="35">
        <v>92</v>
      </c>
      <c r="Y6" s="11">
        <f t="shared" si="6"/>
        <v>315</v>
      </c>
      <c r="Z6" s="23">
        <v>66.037999999999997</v>
      </c>
      <c r="AA6" s="8">
        <f t="shared" si="7"/>
        <v>0</v>
      </c>
      <c r="AB6" s="23">
        <v>3041.38</v>
      </c>
      <c r="AC6" s="23">
        <v>0</v>
      </c>
      <c r="AD6" s="23">
        <v>18886</v>
      </c>
      <c r="AE6" s="8">
        <f t="shared" si="8"/>
        <v>11</v>
      </c>
      <c r="AF6" s="23">
        <v>1285.5</v>
      </c>
      <c r="AG6" s="23">
        <v>0</v>
      </c>
      <c r="AH6" s="36">
        <f t="shared" si="9"/>
        <v>315</v>
      </c>
      <c r="AI6" s="21">
        <f t="shared" si="10"/>
        <v>92.400000000000091</v>
      </c>
      <c r="AJ6" s="22">
        <f t="shared" si="11"/>
        <v>222.59999999999991</v>
      </c>
      <c r="AK6" s="17">
        <f t="shared" si="12"/>
        <v>212.29000000000997</v>
      </c>
      <c r="AL6" s="30">
        <f t="shared" si="13"/>
        <v>434.89000000000988</v>
      </c>
    </row>
    <row r="7" spans="1:38" ht="25.5" customHeight="1">
      <c r="A7" s="39" t="s">
        <v>244</v>
      </c>
      <c r="B7" s="35">
        <v>19.21</v>
      </c>
      <c r="C7" s="35">
        <v>115.7</v>
      </c>
      <c r="D7" s="23">
        <v>1245.6300000000001</v>
      </c>
      <c r="E7" s="23">
        <v>338.43</v>
      </c>
      <c r="F7" s="23">
        <v>0.78600000000000003</v>
      </c>
      <c r="G7" s="23">
        <v>0.61699999999999999</v>
      </c>
      <c r="H7" s="23">
        <v>40</v>
      </c>
      <c r="I7" s="5">
        <f t="shared" si="0"/>
        <v>127.99999999999955</v>
      </c>
      <c r="J7" s="6">
        <f t="shared" si="1"/>
        <v>175.99999999999454</v>
      </c>
      <c r="K7" s="23">
        <v>77777.460000000006</v>
      </c>
      <c r="L7" s="23">
        <v>0.98599999999999999</v>
      </c>
      <c r="M7" s="7">
        <f t="shared" si="2"/>
        <v>5.2699999999895226</v>
      </c>
      <c r="N7" s="23">
        <v>80</v>
      </c>
      <c r="O7" s="8">
        <f t="shared" si="3"/>
        <v>0</v>
      </c>
      <c r="P7" s="23">
        <v>524.5</v>
      </c>
      <c r="Q7" s="23">
        <v>0</v>
      </c>
      <c r="R7" s="23">
        <v>127595.51</v>
      </c>
      <c r="S7" s="23">
        <v>0.91800000000000004</v>
      </c>
      <c r="T7" s="9">
        <f t="shared" si="4"/>
        <v>0</v>
      </c>
      <c r="U7" s="10">
        <f t="shared" si="5"/>
        <v>181.26999999998407</v>
      </c>
      <c r="V7" s="35">
        <v>101</v>
      </c>
      <c r="W7" s="35">
        <v>122</v>
      </c>
      <c r="X7" s="35">
        <v>116</v>
      </c>
      <c r="Y7" s="11">
        <f t="shared" si="6"/>
        <v>339</v>
      </c>
      <c r="Z7" s="23">
        <v>66.037999999999997</v>
      </c>
      <c r="AA7" s="8">
        <f t="shared" si="7"/>
        <v>0</v>
      </c>
      <c r="AB7" s="23">
        <v>3041.41</v>
      </c>
      <c r="AC7" s="23">
        <v>0</v>
      </c>
      <c r="AD7" s="23">
        <v>18897</v>
      </c>
      <c r="AE7" s="8">
        <f t="shared" si="8"/>
        <v>1</v>
      </c>
      <c r="AF7" s="23">
        <v>1286.2</v>
      </c>
      <c r="AG7" s="23">
        <v>0</v>
      </c>
      <c r="AH7" s="36">
        <f t="shared" si="9"/>
        <v>339</v>
      </c>
      <c r="AI7" s="21">
        <f t="shared" si="10"/>
        <v>127.99999999999955</v>
      </c>
      <c r="AJ7" s="22">
        <f t="shared" si="11"/>
        <v>211.00000000000045</v>
      </c>
      <c r="AK7" s="17">
        <f t="shared" si="12"/>
        <v>182.26999999998407</v>
      </c>
      <c r="AL7" s="30">
        <f t="shared" si="13"/>
        <v>393.26999999998452</v>
      </c>
    </row>
    <row r="8" spans="1:38" ht="25.5" customHeight="1">
      <c r="A8" s="39" t="s">
        <v>245</v>
      </c>
      <c r="B8" s="35">
        <v>19.318000000000001</v>
      </c>
      <c r="C8" s="35">
        <v>108.1</v>
      </c>
      <c r="D8" s="23">
        <v>1250.03</v>
      </c>
      <c r="E8" s="23">
        <v>341.63</v>
      </c>
      <c r="F8" s="23">
        <v>0.78600000000000003</v>
      </c>
      <c r="G8" s="23">
        <v>0.63300000000000001</v>
      </c>
      <c r="H8" s="23">
        <v>40</v>
      </c>
      <c r="I8" s="5">
        <f t="shared" si="0"/>
        <v>172.40000000000009</v>
      </c>
      <c r="J8" s="6">
        <f t="shared" si="1"/>
        <v>362.39999999999782</v>
      </c>
      <c r="K8" s="23">
        <v>77782.73</v>
      </c>
      <c r="L8" s="23">
        <v>0.98599999999999999</v>
      </c>
      <c r="M8" s="7">
        <f t="shared" si="2"/>
        <v>22.240000000005239</v>
      </c>
      <c r="N8" s="23">
        <v>80</v>
      </c>
      <c r="O8" s="8">
        <f t="shared" si="3"/>
        <v>0</v>
      </c>
      <c r="P8" s="23">
        <v>524.5</v>
      </c>
      <c r="Q8" s="23">
        <v>0</v>
      </c>
      <c r="R8" s="23">
        <v>127595.51</v>
      </c>
      <c r="S8" s="23">
        <v>0.91800000000000004</v>
      </c>
      <c r="T8" s="9">
        <f t="shared" si="4"/>
        <v>0</v>
      </c>
      <c r="U8" s="10">
        <f t="shared" si="5"/>
        <v>384.64000000000306</v>
      </c>
      <c r="V8" s="35">
        <v>84</v>
      </c>
      <c r="W8" s="35">
        <v>96</v>
      </c>
      <c r="X8" s="35">
        <v>96</v>
      </c>
      <c r="Y8" s="11">
        <f t="shared" si="6"/>
        <v>276</v>
      </c>
      <c r="Z8" s="23">
        <v>66.037999999999997</v>
      </c>
      <c r="AA8" s="8">
        <f t="shared" si="7"/>
        <v>0</v>
      </c>
      <c r="AB8" s="23">
        <v>3041.45</v>
      </c>
      <c r="AC8" s="23">
        <v>0</v>
      </c>
      <c r="AD8" s="23">
        <v>18898</v>
      </c>
      <c r="AE8" s="8">
        <f t="shared" si="8"/>
        <v>0</v>
      </c>
      <c r="AF8" s="23">
        <v>1286.3</v>
      </c>
      <c r="AG8" s="23">
        <v>0</v>
      </c>
      <c r="AH8" s="36">
        <f t="shared" si="9"/>
        <v>276</v>
      </c>
      <c r="AI8" s="21">
        <f t="shared" si="10"/>
        <v>172.40000000000009</v>
      </c>
      <c r="AJ8" s="22">
        <f t="shared" si="11"/>
        <v>103.59999999999991</v>
      </c>
      <c r="AK8" s="17">
        <f t="shared" si="12"/>
        <v>384.64000000000306</v>
      </c>
      <c r="AL8" s="30">
        <f t="shared" si="13"/>
        <v>488.24000000000296</v>
      </c>
    </row>
    <row r="9" spans="1:38" ht="25.5" customHeight="1">
      <c r="A9" s="39" t="s">
        <v>246</v>
      </c>
      <c r="B9" s="35">
        <v>19.513999999999999</v>
      </c>
      <c r="C9" s="35">
        <v>196.5</v>
      </c>
      <c r="D9" s="23">
        <v>1259.0899999999999</v>
      </c>
      <c r="E9" s="23">
        <v>345.94</v>
      </c>
      <c r="F9" s="23">
        <v>0.78400000000000003</v>
      </c>
      <c r="G9" s="23">
        <v>0.64200000000000002</v>
      </c>
      <c r="H9" s="23">
        <v>40</v>
      </c>
      <c r="I9" s="5">
        <f t="shared" si="0"/>
        <v>77.599999999999909</v>
      </c>
      <c r="J9" s="6">
        <f t="shared" si="1"/>
        <v>104.80000000000473</v>
      </c>
      <c r="K9" s="23">
        <v>77804.97</v>
      </c>
      <c r="L9" s="23">
        <v>0.98599999999999999</v>
      </c>
      <c r="M9" s="7">
        <f t="shared" si="2"/>
        <v>19.630000000004657</v>
      </c>
      <c r="N9" s="23">
        <v>80</v>
      </c>
      <c r="O9" s="8">
        <f t="shared" si="3"/>
        <v>0</v>
      </c>
      <c r="P9" s="23">
        <v>524.5</v>
      </c>
      <c r="Q9" s="23">
        <v>0</v>
      </c>
      <c r="R9" s="23">
        <v>127595.51</v>
      </c>
      <c r="S9" s="23">
        <v>0.91800000000000004</v>
      </c>
      <c r="T9" s="9">
        <f t="shared" si="4"/>
        <v>0</v>
      </c>
      <c r="U9" s="10">
        <f t="shared" si="5"/>
        <v>124.43000000000939</v>
      </c>
      <c r="V9" s="35">
        <v>118</v>
      </c>
      <c r="W9" s="35">
        <v>123</v>
      </c>
      <c r="X9" s="35">
        <v>105</v>
      </c>
      <c r="Y9" s="11">
        <f t="shared" si="6"/>
        <v>346</v>
      </c>
      <c r="Z9" s="23">
        <v>66.037999999999997</v>
      </c>
      <c r="AA9" s="8">
        <f t="shared" si="7"/>
        <v>0</v>
      </c>
      <c r="AB9" s="23">
        <v>3041.47</v>
      </c>
      <c r="AC9" s="23">
        <v>0</v>
      </c>
      <c r="AD9" s="23">
        <v>18898</v>
      </c>
      <c r="AE9" s="8">
        <f t="shared" si="8"/>
        <v>13</v>
      </c>
      <c r="AF9" s="23">
        <v>1286.3</v>
      </c>
      <c r="AG9" s="23">
        <v>0</v>
      </c>
      <c r="AH9" s="36">
        <f t="shared" si="9"/>
        <v>346</v>
      </c>
      <c r="AI9" s="21">
        <f t="shared" si="10"/>
        <v>77.599999999999909</v>
      </c>
      <c r="AJ9" s="22">
        <f t="shared" si="11"/>
        <v>268.40000000000009</v>
      </c>
      <c r="AK9" s="17">
        <f t="shared" si="12"/>
        <v>137.43000000000939</v>
      </c>
      <c r="AL9" s="30">
        <f t="shared" si="13"/>
        <v>405.83000000000948</v>
      </c>
    </row>
    <row r="10" spans="1:38" ht="25.5" customHeight="1">
      <c r="A10" s="39" t="s">
        <v>247</v>
      </c>
      <c r="B10" s="35">
        <v>19.654</v>
      </c>
      <c r="C10" s="35">
        <v>140.19999999999999</v>
      </c>
      <c r="D10" s="23">
        <v>1261.71</v>
      </c>
      <c r="E10" s="23">
        <v>347.88</v>
      </c>
      <c r="F10" s="23">
        <v>0.78100000000000003</v>
      </c>
      <c r="G10" s="23">
        <v>0.63200000000000001</v>
      </c>
      <c r="H10" s="23">
        <v>40</v>
      </c>
      <c r="I10" s="5">
        <f t="shared" si="0"/>
        <v>61.200000000001182</v>
      </c>
      <c r="J10" s="6">
        <f t="shared" si="1"/>
        <v>174.79999999999563</v>
      </c>
      <c r="K10" s="23">
        <v>77824.600000000006</v>
      </c>
      <c r="L10" s="23">
        <v>0.98599999999999999</v>
      </c>
      <c r="M10" s="7">
        <f t="shared" si="2"/>
        <v>23.099999999991269</v>
      </c>
      <c r="N10" s="23">
        <v>80</v>
      </c>
      <c r="O10" s="8">
        <f t="shared" si="3"/>
        <v>0</v>
      </c>
      <c r="P10" s="23">
        <v>526.70000000000005</v>
      </c>
      <c r="Q10" s="23">
        <v>0</v>
      </c>
      <c r="R10" s="23">
        <v>127595.51</v>
      </c>
      <c r="S10" s="23">
        <v>0.91800000000000004</v>
      </c>
      <c r="T10" s="9">
        <f t="shared" si="4"/>
        <v>154.91999999999825</v>
      </c>
      <c r="U10" s="10">
        <f t="shared" si="5"/>
        <v>352.81999999998516</v>
      </c>
      <c r="V10" s="35">
        <v>57</v>
      </c>
      <c r="W10" s="35">
        <v>70</v>
      </c>
      <c r="X10" s="35">
        <v>64</v>
      </c>
      <c r="Y10" s="11">
        <f t="shared" si="6"/>
        <v>191</v>
      </c>
      <c r="Z10" s="23">
        <v>66.037999999999997</v>
      </c>
      <c r="AA10" s="8">
        <f t="shared" si="7"/>
        <v>0</v>
      </c>
      <c r="AB10" s="23">
        <v>3041.47</v>
      </c>
      <c r="AC10" s="23">
        <v>0</v>
      </c>
      <c r="AD10" s="23">
        <v>18911</v>
      </c>
      <c r="AE10" s="8">
        <f t="shared" si="8"/>
        <v>26</v>
      </c>
      <c r="AF10" s="23">
        <v>1287.5999999999999</v>
      </c>
      <c r="AG10" s="23">
        <v>0</v>
      </c>
      <c r="AH10" s="36">
        <f t="shared" si="9"/>
        <v>191</v>
      </c>
      <c r="AI10" s="21">
        <f t="shared" si="10"/>
        <v>61.200000000001182</v>
      </c>
      <c r="AJ10" s="22">
        <f t="shared" si="11"/>
        <v>129.79999999999882</v>
      </c>
      <c r="AK10" s="17">
        <f t="shared" si="12"/>
        <v>378.81999999998516</v>
      </c>
      <c r="AL10" s="30">
        <f t="shared" si="13"/>
        <v>508.61999999998397</v>
      </c>
    </row>
    <row r="11" spans="1:38" ht="25.5" customHeight="1">
      <c r="A11" s="39" t="s">
        <v>248</v>
      </c>
      <c r="B11" s="35">
        <v>19.79</v>
      </c>
      <c r="C11" s="35">
        <v>135.9</v>
      </c>
      <c r="D11" s="23">
        <v>1266.08</v>
      </c>
      <c r="E11" s="23">
        <v>349.41</v>
      </c>
      <c r="F11" s="23">
        <v>0.79400000000000004</v>
      </c>
      <c r="G11" s="23">
        <v>0.622</v>
      </c>
      <c r="H11" s="23">
        <v>40</v>
      </c>
      <c r="I11" s="5">
        <f t="shared" si="0"/>
        <v>74.799999999997908</v>
      </c>
      <c r="J11" s="6">
        <f t="shared" si="1"/>
        <v>196.00000000000364</v>
      </c>
      <c r="K11" s="23">
        <v>77847.7</v>
      </c>
      <c r="L11" s="23">
        <v>0.98499999999999999</v>
      </c>
      <c r="M11" s="7">
        <f t="shared" si="2"/>
        <v>24.330000000001746</v>
      </c>
      <c r="N11" s="23">
        <v>80</v>
      </c>
      <c r="O11" s="8">
        <f t="shared" si="3"/>
        <v>0</v>
      </c>
      <c r="P11" s="23">
        <v>528.1</v>
      </c>
      <c r="Q11" s="23">
        <v>0</v>
      </c>
      <c r="R11" s="23">
        <v>127750.43</v>
      </c>
      <c r="S11" s="23">
        <v>0.91800000000000004</v>
      </c>
      <c r="T11" s="9">
        <f t="shared" si="4"/>
        <v>20</v>
      </c>
      <c r="U11" s="10">
        <f t="shared" si="5"/>
        <v>240.33000000000538</v>
      </c>
      <c r="V11" s="35">
        <v>95</v>
      </c>
      <c r="W11" s="35">
        <v>89</v>
      </c>
      <c r="X11" s="35">
        <v>92</v>
      </c>
      <c r="Y11" s="11">
        <f t="shared" si="6"/>
        <v>276</v>
      </c>
      <c r="Z11" s="23">
        <v>66.037999999999997</v>
      </c>
      <c r="AA11" s="8">
        <f t="shared" si="7"/>
        <v>0</v>
      </c>
      <c r="AB11" s="23">
        <v>3043.42</v>
      </c>
      <c r="AC11" s="23">
        <v>0</v>
      </c>
      <c r="AD11" s="23">
        <v>18937</v>
      </c>
      <c r="AE11" s="8">
        <f t="shared" si="8"/>
        <v>15</v>
      </c>
      <c r="AF11" s="23">
        <v>1289.9000000000001</v>
      </c>
      <c r="AG11" s="23">
        <v>0</v>
      </c>
      <c r="AH11" s="36">
        <f t="shared" si="9"/>
        <v>276</v>
      </c>
      <c r="AI11" s="21">
        <f t="shared" si="10"/>
        <v>74.799999999997908</v>
      </c>
      <c r="AJ11" s="22">
        <f t="shared" si="11"/>
        <v>201.20000000000209</v>
      </c>
      <c r="AK11" s="17">
        <f t="shared" si="12"/>
        <v>255.33000000000538</v>
      </c>
      <c r="AL11" s="30">
        <f t="shared" si="13"/>
        <v>456.53000000000748</v>
      </c>
    </row>
    <row r="12" spans="1:38" ht="25.5" customHeight="1">
      <c r="A12" s="39" t="s">
        <v>249</v>
      </c>
      <c r="B12" s="35">
        <v>19.904</v>
      </c>
      <c r="C12" s="35">
        <v>114</v>
      </c>
      <c r="D12" s="23">
        <v>1270.98</v>
      </c>
      <c r="E12" s="23">
        <v>351.28</v>
      </c>
      <c r="F12" s="23">
        <v>0.79200000000000004</v>
      </c>
      <c r="G12" s="23">
        <v>0.63</v>
      </c>
      <c r="H12" s="23">
        <v>40</v>
      </c>
      <c r="I12" s="5">
        <f t="shared" si="0"/>
        <v>80.40000000000191</v>
      </c>
      <c r="J12" s="6">
        <f t="shared" si="1"/>
        <v>257.20000000000255</v>
      </c>
      <c r="K12" s="23">
        <v>77872.03</v>
      </c>
      <c r="L12" s="23">
        <v>0.98599999999999999</v>
      </c>
      <c r="M12" s="7">
        <f t="shared" si="2"/>
        <v>20.720000000001164</v>
      </c>
      <c r="N12" s="23">
        <v>80</v>
      </c>
      <c r="O12" s="8">
        <f t="shared" si="3"/>
        <v>0</v>
      </c>
      <c r="P12" s="23">
        <v>528.70000000000005</v>
      </c>
      <c r="Q12" s="23">
        <v>0</v>
      </c>
      <c r="R12" s="23">
        <v>127770.43</v>
      </c>
      <c r="S12" s="23">
        <v>0.91700000000000004</v>
      </c>
      <c r="T12" s="9">
        <f t="shared" si="4"/>
        <v>19.790000000008149</v>
      </c>
      <c r="U12" s="10">
        <f t="shared" si="5"/>
        <v>297.71000000001186</v>
      </c>
      <c r="V12" s="35">
        <v>68</v>
      </c>
      <c r="W12" s="35">
        <v>55</v>
      </c>
      <c r="X12" s="35">
        <v>74</v>
      </c>
      <c r="Y12" s="11">
        <f t="shared" si="6"/>
        <v>197</v>
      </c>
      <c r="Z12" s="23">
        <v>66.037999999999997</v>
      </c>
      <c r="AA12" s="8">
        <f t="shared" si="7"/>
        <v>7.3999999999998067E-2</v>
      </c>
      <c r="AB12" s="23">
        <v>3043.71</v>
      </c>
      <c r="AC12" s="23">
        <v>0</v>
      </c>
      <c r="AD12" s="23">
        <v>18952</v>
      </c>
      <c r="AE12" s="8">
        <f t="shared" si="8"/>
        <v>1</v>
      </c>
      <c r="AF12" s="23">
        <v>1291.4000000000001</v>
      </c>
      <c r="AG12" s="23">
        <v>0</v>
      </c>
      <c r="AH12" s="36">
        <f t="shared" si="9"/>
        <v>197</v>
      </c>
      <c r="AI12" s="21">
        <f t="shared" si="10"/>
        <v>80.40000000000191</v>
      </c>
      <c r="AJ12" s="22">
        <f t="shared" si="11"/>
        <v>116.59999999999809</v>
      </c>
      <c r="AK12" s="17">
        <f t="shared" si="12"/>
        <v>298.78400000001187</v>
      </c>
      <c r="AL12" s="30">
        <f t="shared" si="13"/>
        <v>415.38400000000996</v>
      </c>
    </row>
    <row r="13" spans="1:38" ht="25.5" customHeight="1">
      <c r="A13" s="39" t="s">
        <v>250</v>
      </c>
      <c r="B13" s="35">
        <v>20.027999999999999</v>
      </c>
      <c r="C13" s="35">
        <v>124</v>
      </c>
      <c r="D13" s="23">
        <v>1277.4100000000001</v>
      </c>
      <c r="E13" s="23">
        <v>353.29</v>
      </c>
      <c r="F13" s="23">
        <v>0.77700000000000002</v>
      </c>
      <c r="G13" s="23">
        <v>0.63100000000000001</v>
      </c>
      <c r="H13" s="23">
        <v>40</v>
      </c>
      <c r="I13" s="5">
        <f t="shared" si="0"/>
        <v>107.99999999999955</v>
      </c>
      <c r="J13" s="6">
        <f t="shared" si="1"/>
        <v>189.20000000000073</v>
      </c>
      <c r="K13" s="23">
        <v>77892.75</v>
      </c>
      <c r="L13" s="23">
        <v>0.98499999999999999</v>
      </c>
      <c r="M13" s="7">
        <f t="shared" si="2"/>
        <v>23.55000000000291</v>
      </c>
      <c r="N13" s="23">
        <v>80</v>
      </c>
      <c r="O13" s="8">
        <f t="shared" si="3"/>
        <v>0</v>
      </c>
      <c r="P13" s="23">
        <v>529.9</v>
      </c>
      <c r="Q13" s="23">
        <v>0</v>
      </c>
      <c r="R13" s="23">
        <v>127790.22</v>
      </c>
      <c r="S13" s="23">
        <v>0.91800000000000004</v>
      </c>
      <c r="T13" s="9">
        <f t="shared" si="4"/>
        <v>0</v>
      </c>
      <c r="U13" s="10">
        <f t="shared" si="5"/>
        <v>212.75000000000364</v>
      </c>
      <c r="V13" s="35">
        <v>109</v>
      </c>
      <c r="W13" s="35">
        <v>131</v>
      </c>
      <c r="X13" s="35">
        <v>127</v>
      </c>
      <c r="Y13" s="11">
        <f t="shared" si="6"/>
        <v>367</v>
      </c>
      <c r="Z13" s="23">
        <v>66.111999999999995</v>
      </c>
      <c r="AA13" s="8">
        <f t="shared" si="7"/>
        <v>0</v>
      </c>
      <c r="AB13" s="23">
        <v>3044.59</v>
      </c>
      <c r="AC13" s="23">
        <v>0</v>
      </c>
      <c r="AD13" s="23">
        <v>18953</v>
      </c>
      <c r="AE13" s="8">
        <f t="shared" si="8"/>
        <v>1</v>
      </c>
      <c r="AF13" s="23">
        <v>1291.5</v>
      </c>
      <c r="AG13" s="23">
        <v>0</v>
      </c>
      <c r="AH13" s="36">
        <f t="shared" si="9"/>
        <v>367</v>
      </c>
      <c r="AI13" s="21">
        <f t="shared" si="10"/>
        <v>107.99999999999955</v>
      </c>
      <c r="AJ13" s="22">
        <f t="shared" si="11"/>
        <v>259.00000000000045</v>
      </c>
      <c r="AK13" s="17">
        <f t="shared" si="12"/>
        <v>213.75000000000364</v>
      </c>
      <c r="AL13" s="30">
        <f t="shared" si="13"/>
        <v>472.75000000000409</v>
      </c>
    </row>
    <row r="14" spans="1:38" ht="25.5" customHeight="1">
      <c r="A14" s="39" t="s">
        <v>251</v>
      </c>
      <c r="B14" s="23">
        <v>20.122</v>
      </c>
      <c r="C14" s="23">
        <v>93.85</v>
      </c>
      <c r="D14" s="23">
        <v>1282.1400000000001</v>
      </c>
      <c r="E14" s="23">
        <v>355.99</v>
      </c>
      <c r="F14" s="23">
        <v>0.77600000000000002</v>
      </c>
      <c r="G14" s="23">
        <v>0.63300000000000001</v>
      </c>
      <c r="H14" s="23">
        <v>40</v>
      </c>
      <c r="I14" s="5">
        <f t="shared" si="0"/>
        <v>177.59999999999991</v>
      </c>
      <c r="J14" s="6">
        <f t="shared" si="1"/>
        <v>431.59999999999854</v>
      </c>
      <c r="K14" s="23">
        <v>77916.3</v>
      </c>
      <c r="L14" s="23">
        <v>0.98499999999999999</v>
      </c>
      <c r="M14" s="7">
        <f t="shared" si="2"/>
        <v>45.160000000003492</v>
      </c>
      <c r="N14" s="23">
        <v>80</v>
      </c>
      <c r="O14" s="8">
        <f t="shared" si="3"/>
        <v>0</v>
      </c>
      <c r="P14" s="23">
        <v>530</v>
      </c>
      <c r="Q14" s="23">
        <v>0</v>
      </c>
      <c r="R14" s="23">
        <v>127790.22</v>
      </c>
      <c r="S14" s="23">
        <v>0.91800000000000004</v>
      </c>
      <c r="T14" s="9">
        <f t="shared" si="4"/>
        <v>0</v>
      </c>
      <c r="U14" s="10">
        <f t="shared" si="5"/>
        <v>476.76000000000204</v>
      </c>
      <c r="V14" s="35">
        <v>124</v>
      </c>
      <c r="W14" s="35">
        <v>128</v>
      </c>
      <c r="X14" s="35">
        <v>106</v>
      </c>
      <c r="Y14" s="11">
        <f t="shared" si="6"/>
        <v>358</v>
      </c>
      <c r="Z14" s="23">
        <v>66.111999999999995</v>
      </c>
      <c r="AA14" s="8">
        <f t="shared" si="7"/>
        <v>0</v>
      </c>
      <c r="AB14" s="23">
        <v>3044.62</v>
      </c>
      <c r="AC14" s="23">
        <v>0</v>
      </c>
      <c r="AD14" s="23">
        <v>18954</v>
      </c>
      <c r="AE14" s="8">
        <f t="shared" si="8"/>
        <v>1</v>
      </c>
      <c r="AF14" s="23">
        <v>1291.7</v>
      </c>
      <c r="AG14" s="23">
        <v>0</v>
      </c>
      <c r="AH14" s="36">
        <f t="shared" si="9"/>
        <v>358</v>
      </c>
      <c r="AI14" s="21">
        <f t="shared" si="10"/>
        <v>177.59999999999991</v>
      </c>
      <c r="AJ14" s="22">
        <f t="shared" si="11"/>
        <v>180.40000000000009</v>
      </c>
      <c r="AK14" s="17">
        <f t="shared" si="12"/>
        <v>477.76000000000204</v>
      </c>
      <c r="AL14" s="30">
        <f t="shared" si="13"/>
        <v>658.16000000000213</v>
      </c>
    </row>
    <row r="15" spans="1:38" ht="25.5" customHeight="1">
      <c r="A15" s="39" t="s">
        <v>252</v>
      </c>
      <c r="B15" s="23">
        <v>20.297999999999998</v>
      </c>
      <c r="C15" s="23">
        <v>176.5</v>
      </c>
      <c r="D15" s="23">
        <v>1292.93</v>
      </c>
      <c r="E15" s="23">
        <v>360.43</v>
      </c>
      <c r="F15" s="23">
        <v>0.78100000000000003</v>
      </c>
      <c r="G15" s="23">
        <v>0.63200000000000001</v>
      </c>
      <c r="H15" s="23">
        <v>40</v>
      </c>
      <c r="I15" s="5">
        <f t="shared" si="0"/>
        <v>77.200000000000273</v>
      </c>
      <c r="J15" s="6">
        <f t="shared" si="1"/>
        <v>255.99999999999454</v>
      </c>
      <c r="K15" s="23">
        <v>77961.460000000006</v>
      </c>
      <c r="L15" s="23">
        <v>0.98499999999999999</v>
      </c>
      <c r="M15" s="7">
        <f t="shared" si="2"/>
        <v>-4.2200000000011642</v>
      </c>
      <c r="N15" s="23">
        <v>80</v>
      </c>
      <c r="O15" s="8">
        <f t="shared" si="3"/>
        <v>0</v>
      </c>
      <c r="P15" s="23">
        <v>530</v>
      </c>
      <c r="Q15" s="23">
        <v>0</v>
      </c>
      <c r="R15" s="23">
        <v>127790.22</v>
      </c>
      <c r="S15" s="23">
        <v>0.91800000000000004</v>
      </c>
      <c r="T15" s="9">
        <f t="shared" si="4"/>
        <v>0</v>
      </c>
      <c r="U15" s="10">
        <f t="shared" si="5"/>
        <v>251.77999999999338</v>
      </c>
      <c r="V15" s="35">
        <v>84</v>
      </c>
      <c r="W15" s="35">
        <v>98</v>
      </c>
      <c r="X15" s="35">
        <v>87</v>
      </c>
      <c r="Y15" s="11">
        <f t="shared" si="6"/>
        <v>269</v>
      </c>
      <c r="Z15" s="23">
        <v>66.111999999999995</v>
      </c>
      <c r="AA15" s="8">
        <f t="shared" si="7"/>
        <v>0.18300000000000693</v>
      </c>
      <c r="AB15" s="23">
        <v>3044.64</v>
      </c>
      <c r="AC15" s="23">
        <v>0</v>
      </c>
      <c r="AD15" s="23">
        <v>18955</v>
      </c>
      <c r="AE15" s="8">
        <f t="shared" si="8"/>
        <v>0</v>
      </c>
      <c r="AF15" s="23">
        <v>1291.8</v>
      </c>
      <c r="AG15" s="23">
        <v>0</v>
      </c>
      <c r="AH15" s="36">
        <f t="shared" si="9"/>
        <v>269</v>
      </c>
      <c r="AI15" s="21">
        <f t="shared" si="10"/>
        <v>77.200000000000273</v>
      </c>
      <c r="AJ15" s="22">
        <f t="shared" si="11"/>
        <v>191.79999999999973</v>
      </c>
      <c r="AK15" s="17">
        <f t="shared" si="12"/>
        <v>251.96299999999337</v>
      </c>
      <c r="AL15" s="30">
        <f t="shared" si="13"/>
        <v>443.7629999999931</v>
      </c>
    </row>
    <row r="16" spans="1:38" ht="25.5" customHeight="1">
      <c r="A16" s="39" t="s">
        <v>253</v>
      </c>
      <c r="B16" s="23">
        <v>20.527000000000001</v>
      </c>
      <c r="C16" s="23">
        <v>228.81</v>
      </c>
      <c r="D16" s="23">
        <v>1299.33</v>
      </c>
      <c r="E16" s="23">
        <v>362.36</v>
      </c>
      <c r="F16" s="23">
        <v>0.78300000000000003</v>
      </c>
      <c r="G16" s="23">
        <v>0.63300000000000001</v>
      </c>
      <c r="H16" s="23">
        <v>40</v>
      </c>
      <c r="I16" s="5">
        <f t="shared" si="0"/>
        <v>15.199999999999818</v>
      </c>
      <c r="J16" s="6">
        <f t="shared" si="1"/>
        <v>307.20000000000255</v>
      </c>
      <c r="K16" s="23">
        <v>77957.240000000005</v>
      </c>
      <c r="L16" s="23">
        <v>0.98499999999999999</v>
      </c>
      <c r="M16" s="7">
        <f t="shared" si="2"/>
        <v>55.229999999995925</v>
      </c>
      <c r="N16" s="23">
        <v>80</v>
      </c>
      <c r="O16" s="8">
        <f t="shared" si="3"/>
        <v>0</v>
      </c>
      <c r="P16" s="23">
        <v>530.1</v>
      </c>
      <c r="Q16" s="23">
        <v>0</v>
      </c>
      <c r="R16" s="23">
        <v>127790.22</v>
      </c>
      <c r="S16" s="23">
        <v>0.91800000000000004</v>
      </c>
      <c r="T16" s="9">
        <f t="shared" si="4"/>
        <v>9.9999999947613105E-3</v>
      </c>
      <c r="U16" s="10">
        <f t="shared" si="5"/>
        <v>362.43999999999323</v>
      </c>
      <c r="V16" s="35">
        <v>74</v>
      </c>
      <c r="W16" s="35">
        <v>90</v>
      </c>
      <c r="X16" s="35">
        <v>88</v>
      </c>
      <c r="Y16" s="11">
        <f t="shared" si="6"/>
        <v>252</v>
      </c>
      <c r="Z16" s="23">
        <v>66.295000000000002</v>
      </c>
      <c r="AA16" s="8">
        <f t="shared" si="7"/>
        <v>0</v>
      </c>
      <c r="AB16" s="23">
        <v>3048.09</v>
      </c>
      <c r="AC16" s="23">
        <v>0</v>
      </c>
      <c r="AD16" s="23">
        <v>18955</v>
      </c>
      <c r="AE16" s="8">
        <f t="shared" si="8"/>
        <v>0</v>
      </c>
      <c r="AF16" s="23">
        <v>1291.8</v>
      </c>
      <c r="AG16" s="23">
        <v>0</v>
      </c>
      <c r="AH16" s="36">
        <f t="shared" si="9"/>
        <v>252</v>
      </c>
      <c r="AI16" s="21">
        <f t="shared" si="10"/>
        <v>15.199999999999818</v>
      </c>
      <c r="AJ16" s="22">
        <f t="shared" si="11"/>
        <v>236.80000000000018</v>
      </c>
      <c r="AK16" s="17">
        <f t="shared" si="12"/>
        <v>362.43999999999323</v>
      </c>
      <c r="AL16" s="30">
        <f t="shared" si="13"/>
        <v>599.23999999999342</v>
      </c>
    </row>
    <row r="17" spans="1:38" ht="25.5" customHeight="1">
      <c r="A17" s="39" t="s">
        <v>254</v>
      </c>
      <c r="B17" s="23">
        <v>20.666</v>
      </c>
      <c r="C17" s="23">
        <v>138.9</v>
      </c>
      <c r="D17" s="23">
        <v>1307.01</v>
      </c>
      <c r="E17" s="23">
        <v>362.74</v>
      </c>
      <c r="F17" s="23">
        <v>0.78300000000000003</v>
      </c>
      <c r="G17" s="23">
        <v>0.623</v>
      </c>
      <c r="H17" s="23">
        <v>40</v>
      </c>
      <c r="I17" s="5">
        <f t="shared" si="0"/>
        <v>10</v>
      </c>
      <c r="J17" s="6">
        <f t="shared" si="1"/>
        <v>396.80000000000291</v>
      </c>
      <c r="K17" s="23">
        <v>78012.47</v>
      </c>
      <c r="L17" s="23">
        <v>0.98599999999999999</v>
      </c>
      <c r="M17" s="7">
        <f t="shared" si="2"/>
        <v>28.819999999992433</v>
      </c>
      <c r="N17" s="23">
        <v>80</v>
      </c>
      <c r="O17" s="8">
        <f t="shared" si="3"/>
        <v>0</v>
      </c>
      <c r="P17" s="23">
        <v>530.1</v>
      </c>
      <c r="Q17" s="23">
        <v>0</v>
      </c>
      <c r="R17" s="23">
        <v>127790.23</v>
      </c>
      <c r="S17" s="23">
        <v>0.91700000000000004</v>
      </c>
      <c r="T17" s="9">
        <f t="shared" si="4"/>
        <v>0</v>
      </c>
      <c r="U17" s="10">
        <f t="shared" si="5"/>
        <v>425.61999999999534</v>
      </c>
      <c r="V17" s="35">
        <v>54</v>
      </c>
      <c r="W17" s="35">
        <v>58</v>
      </c>
      <c r="X17" s="35">
        <v>60</v>
      </c>
      <c r="Y17" s="11">
        <f t="shared" si="6"/>
        <v>172</v>
      </c>
      <c r="Z17" s="23">
        <v>66.295000000000002</v>
      </c>
      <c r="AA17" s="8">
        <f t="shared" si="7"/>
        <v>0</v>
      </c>
      <c r="AB17" s="23">
        <v>3048.13</v>
      </c>
      <c r="AC17" s="23">
        <v>0</v>
      </c>
      <c r="AD17" s="23">
        <v>18955</v>
      </c>
      <c r="AE17" s="8">
        <f t="shared" si="8"/>
        <v>4</v>
      </c>
      <c r="AF17" s="23">
        <v>1291.9000000000001</v>
      </c>
      <c r="AG17" s="23">
        <v>0</v>
      </c>
      <c r="AH17" s="36">
        <f t="shared" si="9"/>
        <v>172</v>
      </c>
      <c r="AI17" s="21">
        <f t="shared" si="10"/>
        <v>10</v>
      </c>
      <c r="AJ17" s="22">
        <f t="shared" si="11"/>
        <v>162</v>
      </c>
      <c r="AK17" s="17">
        <f t="shared" si="12"/>
        <v>429.61999999999534</v>
      </c>
      <c r="AL17" s="30">
        <f t="shared" si="13"/>
        <v>591.61999999999534</v>
      </c>
    </row>
    <row r="18" spans="1:38" ht="25.5" customHeight="1">
      <c r="A18" s="39" t="s">
        <v>255</v>
      </c>
      <c r="B18" s="23">
        <v>20.805</v>
      </c>
      <c r="C18" s="23">
        <v>142</v>
      </c>
      <c r="D18" s="23">
        <v>1316.93</v>
      </c>
      <c r="E18" s="23">
        <v>362.99</v>
      </c>
      <c r="F18" s="23">
        <v>0.78300000000000003</v>
      </c>
      <c r="G18" s="23">
        <v>0.61899999999999999</v>
      </c>
      <c r="H18" s="23">
        <v>40</v>
      </c>
      <c r="I18" s="5">
        <f t="shared" si="0"/>
        <v>16.399999999998727</v>
      </c>
      <c r="J18" s="6">
        <f t="shared" si="1"/>
        <v>364.399999999996</v>
      </c>
      <c r="K18" s="23">
        <v>78041.289999999994</v>
      </c>
      <c r="L18" s="23">
        <v>0.98499999999999999</v>
      </c>
      <c r="M18" s="7">
        <f t="shared" si="2"/>
        <v>27.630000000004657</v>
      </c>
      <c r="N18" s="23">
        <v>80</v>
      </c>
      <c r="O18" s="8">
        <f t="shared" si="3"/>
        <v>0</v>
      </c>
      <c r="P18" s="23">
        <v>530.29999999999995</v>
      </c>
      <c r="Q18" s="23">
        <v>0</v>
      </c>
      <c r="R18" s="23">
        <v>127790.23</v>
      </c>
      <c r="S18" s="23">
        <v>0.91700000000000004</v>
      </c>
      <c r="T18" s="9">
        <f t="shared" si="4"/>
        <v>1.0000000009313226E-2</v>
      </c>
      <c r="U18" s="10">
        <f t="shared" si="5"/>
        <v>392.04000000000997</v>
      </c>
      <c r="V18" s="35">
        <v>57</v>
      </c>
      <c r="W18" s="35">
        <v>60</v>
      </c>
      <c r="X18" s="35">
        <v>49</v>
      </c>
      <c r="Y18" s="11">
        <f t="shared" si="6"/>
        <v>166</v>
      </c>
      <c r="Z18" s="23">
        <v>66.295000000000002</v>
      </c>
      <c r="AA18" s="8">
        <f t="shared" si="7"/>
        <v>0</v>
      </c>
      <c r="AB18" s="23">
        <v>3048.17</v>
      </c>
      <c r="AC18" s="23">
        <v>50</v>
      </c>
      <c r="AD18" s="23">
        <v>18959</v>
      </c>
      <c r="AE18" s="8">
        <f t="shared" si="8"/>
        <v>0</v>
      </c>
      <c r="AF18" s="23">
        <v>1292.2</v>
      </c>
      <c r="AG18" s="23">
        <v>50</v>
      </c>
      <c r="AH18" s="36">
        <f t="shared" si="9"/>
        <v>166</v>
      </c>
      <c r="AI18" s="21">
        <f t="shared" si="10"/>
        <v>16.399999999998727</v>
      </c>
      <c r="AJ18" s="22">
        <f t="shared" si="11"/>
        <v>149.60000000000127</v>
      </c>
      <c r="AK18" s="17">
        <f t="shared" si="12"/>
        <v>392.04000000000997</v>
      </c>
      <c r="AL18" s="30">
        <f t="shared" si="13"/>
        <v>541.64000000001124</v>
      </c>
    </row>
    <row r="19" spans="1:38" ht="25.5" customHeight="1">
      <c r="A19" s="39" t="s">
        <v>256</v>
      </c>
      <c r="B19" s="23">
        <v>20.923999999999999</v>
      </c>
      <c r="C19" s="23">
        <v>119.2</v>
      </c>
      <c r="D19" s="23">
        <v>1326.04</v>
      </c>
      <c r="E19" s="23">
        <v>363.4</v>
      </c>
      <c r="F19" s="23">
        <v>0.78600000000000003</v>
      </c>
      <c r="G19" s="23">
        <v>0.61499999999999999</v>
      </c>
      <c r="H19" s="23">
        <v>40</v>
      </c>
      <c r="I19" s="5">
        <f t="shared" si="0"/>
        <v>22.400000000000091</v>
      </c>
      <c r="J19" s="6">
        <f t="shared" si="1"/>
        <v>395.20000000000437</v>
      </c>
      <c r="K19" s="23">
        <v>78068.92</v>
      </c>
      <c r="L19" s="23">
        <v>0.98599999999999999</v>
      </c>
      <c r="M19" s="7">
        <f t="shared" si="2"/>
        <v>30.740000000005239</v>
      </c>
      <c r="N19" s="23">
        <v>80</v>
      </c>
      <c r="O19" s="8">
        <f t="shared" si="3"/>
        <v>0</v>
      </c>
      <c r="P19" s="23">
        <v>530.29999999999995</v>
      </c>
      <c r="Q19" s="23">
        <v>0</v>
      </c>
      <c r="R19" s="23">
        <v>127790.24</v>
      </c>
      <c r="S19" s="23">
        <v>0.91800000000000004</v>
      </c>
      <c r="T19" s="9">
        <f t="shared" si="4"/>
        <v>0</v>
      </c>
      <c r="U19" s="10">
        <f t="shared" si="5"/>
        <v>425.9400000000096</v>
      </c>
      <c r="V19" s="35">
        <v>66</v>
      </c>
      <c r="W19" s="35">
        <v>69</v>
      </c>
      <c r="X19" s="35">
        <v>58</v>
      </c>
      <c r="Y19" s="11">
        <f t="shared" si="6"/>
        <v>193</v>
      </c>
      <c r="Z19" s="23">
        <v>66.295000000000002</v>
      </c>
      <c r="AA19" s="8">
        <f t="shared" si="7"/>
        <v>1.9999999999953388E-3</v>
      </c>
      <c r="AB19" s="23">
        <v>3048.2</v>
      </c>
      <c r="AC19" s="23">
        <v>0</v>
      </c>
      <c r="AD19" s="23">
        <v>18959</v>
      </c>
      <c r="AE19" s="8">
        <f t="shared" si="8"/>
        <v>7</v>
      </c>
      <c r="AF19" s="23">
        <v>1292.2</v>
      </c>
      <c r="AG19" s="23">
        <v>0</v>
      </c>
      <c r="AH19" s="36">
        <f t="shared" si="9"/>
        <v>193</v>
      </c>
      <c r="AI19" s="21">
        <f t="shared" si="10"/>
        <v>22.400000000000091</v>
      </c>
      <c r="AJ19" s="22">
        <f t="shared" si="11"/>
        <v>170.59999999999991</v>
      </c>
      <c r="AK19" s="17">
        <f t="shared" si="12"/>
        <v>432.94200000000961</v>
      </c>
      <c r="AL19" s="30">
        <f t="shared" si="13"/>
        <v>603.54200000000947</v>
      </c>
    </row>
    <row r="20" spans="1:38" ht="25.5" customHeight="1">
      <c r="A20" s="39" t="s">
        <v>257</v>
      </c>
      <c r="B20" s="23">
        <v>21.068000000000001</v>
      </c>
      <c r="C20" s="23">
        <v>143.69999999999999</v>
      </c>
      <c r="D20" s="23">
        <v>1335.92</v>
      </c>
      <c r="E20" s="23">
        <v>363.96</v>
      </c>
      <c r="F20" s="23">
        <v>0.78700000000000003</v>
      </c>
      <c r="G20" s="23">
        <v>0.61099999999999999</v>
      </c>
      <c r="H20" s="23">
        <v>40</v>
      </c>
      <c r="I20" s="5">
        <f t="shared" si="0"/>
        <v>7.5999999999999091</v>
      </c>
      <c r="J20" s="6">
        <f t="shared" si="1"/>
        <v>763.99999999999636</v>
      </c>
      <c r="K20" s="23">
        <v>78099.66</v>
      </c>
      <c r="L20" s="23">
        <v>0.98499999999999999</v>
      </c>
      <c r="M20" s="7">
        <f t="shared" si="2"/>
        <v>54.389999999999418</v>
      </c>
      <c r="N20" s="23">
        <v>80</v>
      </c>
      <c r="O20" s="8">
        <f t="shared" si="3"/>
        <v>1</v>
      </c>
      <c r="P20" s="23">
        <v>530.5</v>
      </c>
      <c r="Q20" s="23">
        <v>0</v>
      </c>
      <c r="R20" s="23">
        <v>127790.24</v>
      </c>
      <c r="S20" s="23">
        <v>0.91800000000000004</v>
      </c>
      <c r="T20" s="9">
        <f t="shared" si="4"/>
        <v>0</v>
      </c>
      <c r="U20" s="10">
        <f t="shared" si="5"/>
        <v>819.38999999999578</v>
      </c>
      <c r="V20" s="35">
        <v>52</v>
      </c>
      <c r="W20" s="35">
        <v>54</v>
      </c>
      <c r="X20" s="35">
        <v>47</v>
      </c>
      <c r="Y20" s="11">
        <f t="shared" si="6"/>
        <v>153</v>
      </c>
      <c r="Z20" s="23">
        <v>66.296999999999997</v>
      </c>
      <c r="AA20" s="8">
        <f t="shared" si="7"/>
        <v>0</v>
      </c>
      <c r="AB20" s="23">
        <v>3048.27</v>
      </c>
      <c r="AC20" s="23">
        <v>0</v>
      </c>
      <c r="AD20" s="23">
        <v>18966</v>
      </c>
      <c r="AE20" s="8">
        <f t="shared" si="8"/>
        <v>15</v>
      </c>
      <c r="AF20" s="23">
        <v>1292.5999999999999</v>
      </c>
      <c r="AG20" s="23">
        <v>0</v>
      </c>
      <c r="AH20" s="36">
        <f t="shared" si="9"/>
        <v>153</v>
      </c>
      <c r="AI20" s="21">
        <f t="shared" si="10"/>
        <v>7.5999999999999091</v>
      </c>
      <c r="AJ20" s="22">
        <f t="shared" si="11"/>
        <v>145.40000000000009</v>
      </c>
      <c r="AK20" s="17">
        <f t="shared" si="12"/>
        <v>834.38999999999578</v>
      </c>
      <c r="AL20" s="30">
        <f t="shared" si="13"/>
        <v>979.78999999999587</v>
      </c>
    </row>
    <row r="21" spans="1:38" ht="25.5" customHeight="1">
      <c r="A21" s="39" t="s">
        <v>258</v>
      </c>
      <c r="B21" s="23">
        <v>21.265000000000001</v>
      </c>
      <c r="C21" s="23">
        <v>196.7</v>
      </c>
      <c r="D21" s="23">
        <v>1355.02</v>
      </c>
      <c r="E21" s="23">
        <v>364.15</v>
      </c>
      <c r="F21" s="23">
        <v>0.79200000000000004</v>
      </c>
      <c r="G21" s="23">
        <v>0.60799999999999998</v>
      </c>
      <c r="H21" s="23">
        <v>40</v>
      </c>
      <c r="I21" s="5">
        <f t="shared" si="0"/>
        <v>1.2000000000011823</v>
      </c>
      <c r="J21" s="6">
        <f t="shared" si="1"/>
        <v>522.39999999999782</v>
      </c>
      <c r="K21" s="23">
        <v>78154.05</v>
      </c>
      <c r="L21" s="23">
        <v>0.98499999999999999</v>
      </c>
      <c r="M21" s="7">
        <f t="shared" si="2"/>
        <v>29.389999999999418</v>
      </c>
      <c r="N21" s="23">
        <v>81</v>
      </c>
      <c r="O21" s="8">
        <f t="shared" si="3"/>
        <v>0</v>
      </c>
      <c r="P21" s="23">
        <v>532.1</v>
      </c>
      <c r="Q21" s="23">
        <v>0</v>
      </c>
      <c r="R21" s="23">
        <v>127790.24</v>
      </c>
      <c r="S21" s="23">
        <v>0.91800000000000004</v>
      </c>
      <c r="T21" s="9">
        <f t="shared" si="4"/>
        <v>9.9999999947613105E-3</v>
      </c>
      <c r="U21" s="10">
        <f t="shared" si="5"/>
        <v>551.799999999992</v>
      </c>
      <c r="V21" s="35">
        <v>26</v>
      </c>
      <c r="W21" s="35">
        <v>28</v>
      </c>
      <c r="X21" s="35">
        <v>43</v>
      </c>
      <c r="Y21" s="11">
        <f t="shared" si="6"/>
        <v>97</v>
      </c>
      <c r="Z21" s="23">
        <v>66.296999999999997</v>
      </c>
      <c r="AA21" s="8">
        <f t="shared" si="7"/>
        <v>0</v>
      </c>
      <c r="AB21" s="23">
        <v>3048.29</v>
      </c>
      <c r="AC21" s="23">
        <v>0</v>
      </c>
      <c r="AD21" s="23">
        <v>18981</v>
      </c>
      <c r="AE21" s="8">
        <f t="shared" si="8"/>
        <v>2</v>
      </c>
      <c r="AF21" s="23">
        <v>1293.8</v>
      </c>
      <c r="AG21" s="23">
        <v>0</v>
      </c>
      <c r="AH21" s="36">
        <f t="shared" si="9"/>
        <v>97</v>
      </c>
      <c r="AI21" s="21">
        <f t="shared" si="10"/>
        <v>1.2000000000011823</v>
      </c>
      <c r="AJ21" s="22">
        <f t="shared" si="11"/>
        <v>95.799999999998818</v>
      </c>
      <c r="AK21" s="17">
        <f t="shared" si="12"/>
        <v>553.799999999992</v>
      </c>
      <c r="AL21" s="30">
        <f t="shared" si="13"/>
        <v>649.59999999999081</v>
      </c>
    </row>
    <row r="22" spans="1:38" ht="25.5" customHeight="1">
      <c r="A22" s="39" t="s">
        <v>259</v>
      </c>
      <c r="B22" s="23">
        <v>21.445</v>
      </c>
      <c r="C22" s="23">
        <v>180.7</v>
      </c>
      <c r="D22" s="23">
        <v>1368.08</v>
      </c>
      <c r="E22" s="23">
        <v>364.18</v>
      </c>
      <c r="F22" s="23">
        <v>0.79600000000000004</v>
      </c>
      <c r="G22" s="23">
        <v>0.60699999999999998</v>
      </c>
      <c r="H22" s="23">
        <v>40</v>
      </c>
      <c r="I22" s="5">
        <f t="shared" si="0"/>
        <v>1.1999999999989086</v>
      </c>
      <c r="J22" s="6">
        <f t="shared" si="1"/>
        <v>467.20000000000255</v>
      </c>
      <c r="K22" s="23">
        <v>78183.44</v>
      </c>
      <c r="L22" s="23">
        <v>0.98599999999999999</v>
      </c>
      <c r="M22" s="7">
        <f t="shared" si="2"/>
        <v>29.639999999999418</v>
      </c>
      <c r="N22" s="23">
        <v>81</v>
      </c>
      <c r="O22" s="8">
        <f t="shared" si="3"/>
        <v>0</v>
      </c>
      <c r="P22" s="23">
        <v>532.29999999999995</v>
      </c>
      <c r="Q22" s="23">
        <v>0</v>
      </c>
      <c r="R22" s="23">
        <v>127790.25</v>
      </c>
      <c r="S22" s="23">
        <v>0.91700000000000004</v>
      </c>
      <c r="T22" s="9">
        <f t="shared" si="4"/>
        <v>0</v>
      </c>
      <c r="U22" s="10">
        <f t="shared" si="5"/>
        <v>496.84000000000196</v>
      </c>
      <c r="V22" s="35">
        <v>38</v>
      </c>
      <c r="W22" s="35">
        <v>45</v>
      </c>
      <c r="X22" s="35">
        <v>62</v>
      </c>
      <c r="Y22" s="11">
        <f t="shared" si="6"/>
        <v>145</v>
      </c>
      <c r="Z22" s="23">
        <v>66.296999999999997</v>
      </c>
      <c r="AA22" s="8">
        <f t="shared" si="7"/>
        <v>0</v>
      </c>
      <c r="AB22" s="23">
        <v>3048.32</v>
      </c>
      <c r="AC22" s="23">
        <v>0</v>
      </c>
      <c r="AD22" s="23">
        <v>18983</v>
      </c>
      <c r="AE22" s="8">
        <f t="shared" si="8"/>
        <v>2</v>
      </c>
      <c r="AF22" s="23">
        <v>1294</v>
      </c>
      <c r="AG22" s="23">
        <v>0</v>
      </c>
      <c r="AH22" s="36">
        <f t="shared" si="9"/>
        <v>145</v>
      </c>
      <c r="AI22" s="21">
        <f t="shared" si="10"/>
        <v>1.1999999999989086</v>
      </c>
      <c r="AJ22" s="22">
        <f t="shared" si="11"/>
        <v>143.80000000000109</v>
      </c>
      <c r="AK22" s="17">
        <f t="shared" si="12"/>
        <v>498.84000000000196</v>
      </c>
      <c r="AL22" s="30">
        <f t="shared" si="13"/>
        <v>642.64000000000306</v>
      </c>
    </row>
    <row r="23" spans="1:38" ht="25.5" customHeight="1">
      <c r="A23" s="39" t="s">
        <v>260</v>
      </c>
      <c r="B23" s="23">
        <v>21.602</v>
      </c>
      <c r="C23" s="23">
        <v>157.1</v>
      </c>
      <c r="D23" s="23">
        <v>1379.76</v>
      </c>
      <c r="E23" s="23">
        <v>364.21</v>
      </c>
      <c r="F23" s="23">
        <v>0.79600000000000004</v>
      </c>
      <c r="G23" s="23">
        <v>0.60599999999999998</v>
      </c>
      <c r="H23" s="23">
        <v>40</v>
      </c>
      <c r="I23" s="5">
        <f t="shared" si="0"/>
        <v>5.1999999999998181</v>
      </c>
      <c r="J23" s="6">
        <f t="shared" si="1"/>
        <v>431.19999999999891</v>
      </c>
      <c r="K23" s="23">
        <v>78213.08</v>
      </c>
      <c r="L23" s="23">
        <v>0.98599999999999999</v>
      </c>
      <c r="M23" s="7">
        <f t="shared" si="2"/>
        <v>25.529999999998836</v>
      </c>
      <c r="N23" s="23">
        <v>81</v>
      </c>
      <c r="O23" s="8">
        <f t="shared" si="3"/>
        <v>0</v>
      </c>
      <c r="P23" s="23">
        <v>532.4</v>
      </c>
      <c r="Q23" s="23">
        <v>0</v>
      </c>
      <c r="R23" s="23">
        <v>127790.25</v>
      </c>
      <c r="S23" s="23">
        <v>0.91700000000000004</v>
      </c>
      <c r="T23" s="9">
        <f t="shared" si="4"/>
        <v>0</v>
      </c>
      <c r="U23" s="10">
        <f t="shared" si="5"/>
        <v>456.72999999999774</v>
      </c>
      <c r="V23" s="35">
        <v>52</v>
      </c>
      <c r="W23" s="35">
        <v>56</v>
      </c>
      <c r="X23" s="35">
        <v>70</v>
      </c>
      <c r="Y23" s="53">
        <v>178</v>
      </c>
      <c r="Z23" s="23">
        <v>66.296999999999997</v>
      </c>
      <c r="AA23" s="8">
        <f t="shared" si="7"/>
        <v>1.0000000000331966E-4</v>
      </c>
      <c r="AB23" s="23">
        <v>3048.35</v>
      </c>
      <c r="AC23" s="23">
        <v>0</v>
      </c>
      <c r="AD23" s="23">
        <v>18985</v>
      </c>
      <c r="AE23" s="8">
        <f t="shared" si="8"/>
        <v>0</v>
      </c>
      <c r="AF23" s="23">
        <v>1294.0999999999999</v>
      </c>
      <c r="AG23" s="23">
        <v>0</v>
      </c>
      <c r="AH23" s="36">
        <f t="shared" si="9"/>
        <v>178</v>
      </c>
      <c r="AI23" s="21">
        <f t="shared" si="10"/>
        <v>5.1999999999998181</v>
      </c>
      <c r="AJ23" s="22">
        <f t="shared" si="11"/>
        <v>172.80000000000018</v>
      </c>
      <c r="AK23" s="17">
        <f t="shared" si="12"/>
        <v>456.73009999999772</v>
      </c>
      <c r="AL23" s="30">
        <f t="shared" si="13"/>
        <v>629.5300999999979</v>
      </c>
    </row>
    <row r="24" spans="1:38" ht="25.5" customHeight="1">
      <c r="A24" s="39" t="s">
        <v>261</v>
      </c>
      <c r="B24" s="23">
        <v>21.754000000000001</v>
      </c>
      <c r="C24" s="23">
        <v>151.9</v>
      </c>
      <c r="D24" s="23">
        <v>1390.54</v>
      </c>
      <c r="E24" s="23">
        <v>364.34</v>
      </c>
      <c r="F24" s="23">
        <v>0.79700000000000004</v>
      </c>
      <c r="G24" s="23">
        <v>0.6</v>
      </c>
      <c r="H24" s="23">
        <v>40</v>
      </c>
      <c r="I24" s="5">
        <f t="shared" si="0"/>
        <v>11.600000000000819</v>
      </c>
      <c r="J24" s="6">
        <f t="shared" si="1"/>
        <v>445.600000000004</v>
      </c>
      <c r="K24" s="23">
        <v>78238.61</v>
      </c>
      <c r="L24" s="23">
        <v>0.98599999999999999</v>
      </c>
      <c r="M24" s="7">
        <f t="shared" si="2"/>
        <v>29.339999999996508</v>
      </c>
      <c r="N24" s="23">
        <v>81</v>
      </c>
      <c r="O24" s="8">
        <f t="shared" si="3"/>
        <v>0</v>
      </c>
      <c r="P24" s="23">
        <v>532.5</v>
      </c>
      <c r="Q24" s="23">
        <v>0</v>
      </c>
      <c r="R24" s="23">
        <v>127790.25</v>
      </c>
      <c r="S24" s="23">
        <v>0.91700000000000004</v>
      </c>
      <c r="T24" s="9">
        <f t="shared" si="4"/>
        <v>0</v>
      </c>
      <c r="U24" s="10">
        <f t="shared" si="5"/>
        <v>474.94000000000051</v>
      </c>
      <c r="V24" s="35">
        <v>92</v>
      </c>
      <c r="W24" s="35">
        <v>77</v>
      </c>
      <c r="X24" s="35">
        <v>80</v>
      </c>
      <c r="Y24" s="53">
        <v>249</v>
      </c>
      <c r="Z24" s="23">
        <v>66.2971</v>
      </c>
      <c r="AA24" s="8">
        <f t="shared" si="7"/>
        <v>0</v>
      </c>
      <c r="AB24" s="23">
        <v>3048.36</v>
      </c>
      <c r="AC24" s="23">
        <v>0</v>
      </c>
      <c r="AD24" s="23">
        <v>18985</v>
      </c>
      <c r="AE24" s="8">
        <f t="shared" si="8"/>
        <v>1</v>
      </c>
      <c r="AF24" s="23">
        <v>1294.0999999999999</v>
      </c>
      <c r="AG24" s="23">
        <v>0</v>
      </c>
      <c r="AH24" s="36">
        <f t="shared" si="9"/>
        <v>249</v>
      </c>
      <c r="AI24" s="21">
        <f t="shared" si="10"/>
        <v>11.600000000000819</v>
      </c>
      <c r="AJ24" s="22">
        <f t="shared" si="11"/>
        <v>237.39999999999918</v>
      </c>
      <c r="AK24" s="17">
        <f t="shared" si="12"/>
        <v>475.94000000000051</v>
      </c>
      <c r="AL24" s="30">
        <f t="shared" si="13"/>
        <v>713.33999999999969</v>
      </c>
    </row>
    <row r="25" spans="1:38" ht="25.5" customHeight="1">
      <c r="A25" s="39" t="s">
        <v>262</v>
      </c>
      <c r="B25" s="23">
        <v>21.943000000000001</v>
      </c>
      <c r="C25" s="23">
        <v>188.5</v>
      </c>
      <c r="D25" s="23">
        <v>1401.68</v>
      </c>
      <c r="E25" s="23">
        <v>364.63</v>
      </c>
      <c r="F25" s="23">
        <v>0.79800000000000004</v>
      </c>
      <c r="G25" s="23">
        <v>0.59399999999999997</v>
      </c>
      <c r="H25" s="23">
        <v>40</v>
      </c>
      <c r="I25" s="5">
        <f t="shared" si="0"/>
        <v>10.399999999999636</v>
      </c>
      <c r="J25" s="6">
        <f t="shared" si="1"/>
        <v>377.59999999999309</v>
      </c>
      <c r="K25" s="23">
        <v>78267.95</v>
      </c>
      <c r="L25" s="23">
        <v>0.98599999999999999</v>
      </c>
      <c r="M25" s="7">
        <f t="shared" si="2"/>
        <v>31.320000000006985</v>
      </c>
      <c r="N25" s="23">
        <v>81</v>
      </c>
      <c r="O25" s="8">
        <f t="shared" si="3"/>
        <v>0</v>
      </c>
      <c r="P25" s="23">
        <v>532.6</v>
      </c>
      <c r="Q25" s="23">
        <v>0</v>
      </c>
      <c r="R25" s="23">
        <v>127790.25</v>
      </c>
      <c r="S25" s="23">
        <v>0.91700000000000004</v>
      </c>
      <c r="T25" s="9">
        <f t="shared" si="4"/>
        <v>0</v>
      </c>
      <c r="U25" s="10">
        <f t="shared" si="5"/>
        <v>408.92000000000007</v>
      </c>
      <c r="V25" s="35">
        <v>93</v>
      </c>
      <c r="W25" s="35">
        <v>88</v>
      </c>
      <c r="X25" s="35">
        <v>90</v>
      </c>
      <c r="Y25" s="53">
        <v>271</v>
      </c>
      <c r="Z25" s="23">
        <v>66.2971</v>
      </c>
      <c r="AA25" s="8">
        <f t="shared" si="7"/>
        <v>0</v>
      </c>
      <c r="AB25" s="23">
        <v>3048.38</v>
      </c>
      <c r="AC25" s="23">
        <v>0</v>
      </c>
      <c r="AD25" s="23">
        <v>18986</v>
      </c>
      <c r="AE25" s="8">
        <f t="shared" si="8"/>
        <v>10</v>
      </c>
      <c r="AF25" s="23">
        <v>1294.2</v>
      </c>
      <c r="AG25" s="23">
        <v>0</v>
      </c>
      <c r="AH25" s="36">
        <f t="shared" si="9"/>
        <v>271</v>
      </c>
      <c r="AI25" s="21">
        <f t="shared" si="10"/>
        <v>10.399999999999636</v>
      </c>
      <c r="AJ25" s="22">
        <f t="shared" si="11"/>
        <v>260.60000000000036</v>
      </c>
      <c r="AK25" s="17">
        <f t="shared" si="12"/>
        <v>418.92000000000007</v>
      </c>
      <c r="AL25" s="30">
        <f t="shared" si="13"/>
        <v>679.52000000000044</v>
      </c>
    </row>
    <row r="26" spans="1:38" ht="25.5" customHeight="1">
      <c r="A26" s="39" t="s">
        <v>263</v>
      </c>
      <c r="B26" s="23">
        <v>22.125</v>
      </c>
      <c r="C26" s="23">
        <v>182.1</v>
      </c>
      <c r="D26" s="23">
        <v>1411.12</v>
      </c>
      <c r="E26" s="23">
        <v>364.89</v>
      </c>
      <c r="F26" s="23">
        <v>0.79700000000000004</v>
      </c>
      <c r="G26" s="23">
        <v>0.59</v>
      </c>
      <c r="H26" s="23">
        <v>40</v>
      </c>
      <c r="I26" s="5">
        <f t="shared" si="0"/>
        <v>62.799999999999727</v>
      </c>
      <c r="J26" s="6">
        <f t="shared" si="1"/>
        <v>684.80000000000473</v>
      </c>
      <c r="K26" s="23">
        <v>78299.27</v>
      </c>
      <c r="L26" s="23">
        <v>0.98599999999999999</v>
      </c>
      <c r="M26" s="7">
        <f t="shared" si="2"/>
        <v>57.929999999993015</v>
      </c>
      <c r="N26" s="23">
        <v>81</v>
      </c>
      <c r="O26" s="8">
        <f t="shared" si="3"/>
        <v>1</v>
      </c>
      <c r="P26" s="23">
        <v>533.29999999999995</v>
      </c>
      <c r="Q26" s="23">
        <v>0</v>
      </c>
      <c r="R26" s="23">
        <v>127790.25</v>
      </c>
      <c r="S26" s="23">
        <v>0.91700000000000004</v>
      </c>
      <c r="T26" s="9">
        <f t="shared" si="4"/>
        <v>0</v>
      </c>
      <c r="U26" s="10">
        <f t="shared" si="5"/>
        <v>743.72999999999774</v>
      </c>
      <c r="V26" s="35">
        <v>74</v>
      </c>
      <c r="W26" s="35">
        <v>77</v>
      </c>
      <c r="X26" s="35">
        <v>82</v>
      </c>
      <c r="Y26" s="53">
        <v>233</v>
      </c>
      <c r="Z26" s="23">
        <v>66.2971</v>
      </c>
      <c r="AA26" s="8">
        <f t="shared" si="7"/>
        <v>9.1999999999927695E-3</v>
      </c>
      <c r="AB26" s="23">
        <v>3048.55</v>
      </c>
      <c r="AC26" s="23">
        <v>0</v>
      </c>
      <c r="AD26" s="23">
        <v>18996</v>
      </c>
      <c r="AE26" s="8">
        <f t="shared" si="8"/>
        <v>6</v>
      </c>
      <c r="AF26" s="23">
        <v>1294.5999999999999</v>
      </c>
      <c r="AG26" s="23">
        <v>0</v>
      </c>
      <c r="AH26" s="36">
        <f t="shared" si="9"/>
        <v>233</v>
      </c>
      <c r="AI26" s="21">
        <f t="shared" si="10"/>
        <v>62.799999999999727</v>
      </c>
      <c r="AJ26" s="22">
        <f t="shared" si="11"/>
        <v>170.20000000000027</v>
      </c>
      <c r="AK26" s="17">
        <f t="shared" si="12"/>
        <v>749.73919999999771</v>
      </c>
      <c r="AL26" s="30">
        <f t="shared" si="13"/>
        <v>919.93919999999798</v>
      </c>
    </row>
    <row r="27" spans="1:38" ht="25.5" customHeight="1">
      <c r="A27" s="39" t="s">
        <v>264</v>
      </c>
      <c r="B27" s="23">
        <v>22.331</v>
      </c>
      <c r="C27" s="23">
        <v>206.3</v>
      </c>
      <c r="D27" s="23">
        <v>1428.24</v>
      </c>
      <c r="E27" s="23">
        <v>366.46</v>
      </c>
      <c r="F27" s="23">
        <v>0.79900000000000004</v>
      </c>
      <c r="G27" s="23">
        <v>0.58399999999999996</v>
      </c>
      <c r="H27" s="23">
        <v>40</v>
      </c>
      <c r="I27" s="5">
        <f t="shared" si="0"/>
        <v>-14658.4</v>
      </c>
      <c r="J27" s="6">
        <f t="shared" si="1"/>
        <v>-57129.599999999999</v>
      </c>
      <c r="K27" s="23">
        <v>78357.2</v>
      </c>
      <c r="L27" s="23">
        <v>0.98499999999999999</v>
      </c>
      <c r="M27" s="7">
        <f t="shared" si="2"/>
        <v>-78357.2</v>
      </c>
      <c r="N27" s="23">
        <v>82</v>
      </c>
      <c r="O27" s="8">
        <f t="shared" si="3"/>
        <v>-82</v>
      </c>
      <c r="P27" s="23">
        <v>536.1</v>
      </c>
      <c r="Q27" s="23">
        <v>0</v>
      </c>
      <c r="R27" s="23">
        <v>127790.25</v>
      </c>
      <c r="S27" s="23">
        <v>0.91700000000000004</v>
      </c>
      <c r="T27" s="9">
        <f t="shared" si="4"/>
        <v>-127790.25</v>
      </c>
      <c r="U27" s="10">
        <f t="shared" si="5"/>
        <v>-263359.05</v>
      </c>
      <c r="V27" s="35">
        <v>100</v>
      </c>
      <c r="W27" s="35">
        <v>90</v>
      </c>
      <c r="X27" s="35">
        <v>86</v>
      </c>
      <c r="Y27" s="53">
        <v>276</v>
      </c>
      <c r="Z27" s="23">
        <v>66.306299999999993</v>
      </c>
      <c r="AA27" s="8">
        <f t="shared" si="7"/>
        <v>-66.306299999999993</v>
      </c>
      <c r="AB27" s="23">
        <v>3048.57</v>
      </c>
      <c r="AC27" s="23">
        <v>0</v>
      </c>
      <c r="AD27" s="23">
        <v>19002</v>
      </c>
      <c r="AE27" s="8">
        <f t="shared" si="8"/>
        <v>-19002</v>
      </c>
      <c r="AF27" s="23">
        <v>1295</v>
      </c>
      <c r="AG27" s="23">
        <v>0</v>
      </c>
      <c r="AH27" s="36">
        <f t="shared" si="9"/>
        <v>276</v>
      </c>
      <c r="AI27" s="21">
        <f t="shared" si="10"/>
        <v>-14658.4</v>
      </c>
      <c r="AJ27" s="22">
        <f t="shared" si="11"/>
        <v>14934.4</v>
      </c>
      <c r="AK27" s="17">
        <f t="shared" si="12"/>
        <v>-282427.35629999998</v>
      </c>
      <c r="AL27" s="30">
        <f t="shared" si="13"/>
        <v>-267492.95629999996</v>
      </c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36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39" t="s">
        <v>265</v>
      </c>
      <c r="B3" s="23">
        <v>4227.8</v>
      </c>
      <c r="C3" s="23">
        <v>296</v>
      </c>
      <c r="D3" s="23">
        <v>2933.75</v>
      </c>
      <c r="E3" s="23">
        <v>493.05</v>
      </c>
      <c r="F3" s="23">
        <v>0.88400000000000001</v>
      </c>
      <c r="G3" s="23">
        <v>0.53100000000000003</v>
      </c>
      <c r="H3" s="23">
        <v>40</v>
      </c>
      <c r="I3" s="5">
        <f t="shared" ref="I3:I28" si="0">(E4-E3)*40</f>
        <v>3.5999999999989996</v>
      </c>
      <c r="J3" s="6">
        <f t="shared" ref="J3:J28" si="1">(D4-D3)*40</f>
        <v>580.79999999999927</v>
      </c>
      <c r="K3" s="23">
        <v>194268.74</v>
      </c>
      <c r="L3" s="23">
        <v>0.99</v>
      </c>
      <c r="M3" s="7">
        <f t="shared" ref="M3:M28" si="2">(K4-K3)</f>
        <v>101.44000000000233</v>
      </c>
      <c r="N3" s="23">
        <v>94</v>
      </c>
      <c r="O3" s="8">
        <f t="shared" ref="O3:O28" si="3">(N4-N3)</f>
        <v>0</v>
      </c>
      <c r="P3" s="23">
        <v>608.4</v>
      </c>
      <c r="Q3" s="23">
        <v>75</v>
      </c>
      <c r="R3" s="23">
        <v>131016.59</v>
      </c>
      <c r="S3" s="23">
        <v>0.86</v>
      </c>
      <c r="T3" s="25">
        <f t="shared" ref="T3:T28" si="4">(R4-R3)</f>
        <v>42.510000000009313</v>
      </c>
      <c r="U3" s="26">
        <f t="shared" ref="U3:U28" si="5">(J3+M3+O3+T3)</f>
        <v>724.75000000001091</v>
      </c>
      <c r="V3" s="35">
        <v>40</v>
      </c>
      <c r="W3" s="35">
        <v>42</v>
      </c>
      <c r="X3" s="35">
        <v>44</v>
      </c>
      <c r="Y3" s="11">
        <f t="shared" ref="Y3:Y29" si="6">SUM(V3:X3)</f>
        <v>126</v>
      </c>
      <c r="Z3" s="23">
        <v>6788.23</v>
      </c>
      <c r="AA3" s="8">
        <f t="shared" ref="AA3:AA28" si="7">(Z4-Z3)</f>
        <v>0</v>
      </c>
      <c r="AB3" s="23">
        <v>3086.23</v>
      </c>
      <c r="AC3" s="23">
        <v>60</v>
      </c>
      <c r="AD3" s="23">
        <v>19956</v>
      </c>
      <c r="AE3" s="8">
        <f t="shared" ref="AE3:AE28" si="8">(AD4-AD3)</f>
        <v>10</v>
      </c>
      <c r="AF3" s="23">
        <v>1409.9</v>
      </c>
      <c r="AG3" s="23">
        <v>71</v>
      </c>
      <c r="AH3" s="36">
        <f t="shared" ref="AH3:AH29" si="9">Y3</f>
        <v>126</v>
      </c>
      <c r="AI3" s="21">
        <f t="shared" ref="AI3:AI29" si="10">I3</f>
        <v>3.5999999999989996</v>
      </c>
      <c r="AJ3" s="22">
        <f t="shared" ref="AJ3:AJ28" si="11">(AH3-AI3)</f>
        <v>122.400000000001</v>
      </c>
      <c r="AK3" s="27">
        <f t="shared" ref="AK3:AK28" si="12">(U3+AA3+AE3)</f>
        <v>734.75000000001091</v>
      </c>
      <c r="AL3" s="40">
        <f t="shared" ref="AL3:AL28" si="13">(AJ3+AK3)</f>
        <v>857.15000000001191</v>
      </c>
    </row>
    <row r="4" spans="1:38" ht="25.5" customHeight="1">
      <c r="A4" s="39" t="s">
        <v>266</v>
      </c>
      <c r="B4" s="35">
        <v>4257.29</v>
      </c>
      <c r="C4" s="35">
        <v>294.89999999999998</v>
      </c>
      <c r="D4" s="23">
        <v>2948.27</v>
      </c>
      <c r="E4" s="23">
        <v>493.14</v>
      </c>
      <c r="F4" s="23">
        <v>0.86699999999999999</v>
      </c>
      <c r="G4" s="23">
        <v>0.25700000000000001</v>
      </c>
      <c r="H4" s="23">
        <v>40</v>
      </c>
      <c r="I4" s="5">
        <f t="shared" si="0"/>
        <v>15.199999999999818</v>
      </c>
      <c r="J4" s="6">
        <f t="shared" si="1"/>
        <v>389.20000000000073</v>
      </c>
      <c r="K4" s="23">
        <v>194370.18</v>
      </c>
      <c r="L4" s="23">
        <v>0.99099999999999999</v>
      </c>
      <c r="M4" s="7">
        <f t="shared" si="2"/>
        <v>138.48000000001048</v>
      </c>
      <c r="N4" s="35">
        <v>94</v>
      </c>
      <c r="O4" s="8">
        <f t="shared" si="3"/>
        <v>0</v>
      </c>
      <c r="P4" s="23">
        <v>608.4</v>
      </c>
      <c r="Q4" s="23">
        <v>75</v>
      </c>
      <c r="R4" s="23">
        <v>131059.1</v>
      </c>
      <c r="S4" s="23">
        <v>0.86099999999999999</v>
      </c>
      <c r="T4" s="25">
        <f t="shared" si="4"/>
        <v>102.29999999998836</v>
      </c>
      <c r="U4" s="26">
        <f t="shared" si="5"/>
        <v>629.97999999999956</v>
      </c>
      <c r="V4" s="35">
        <v>44</v>
      </c>
      <c r="W4" s="35">
        <v>46</v>
      </c>
      <c r="X4" s="35">
        <v>47</v>
      </c>
      <c r="Y4" s="11">
        <f t="shared" si="6"/>
        <v>137</v>
      </c>
      <c r="Z4" s="23">
        <v>6788.23</v>
      </c>
      <c r="AA4" s="8">
        <f t="shared" si="7"/>
        <v>0</v>
      </c>
      <c r="AB4" s="23">
        <v>3086.23</v>
      </c>
      <c r="AC4" s="23">
        <v>60</v>
      </c>
      <c r="AD4" s="23">
        <v>19966</v>
      </c>
      <c r="AE4" s="8">
        <f t="shared" si="8"/>
        <v>0</v>
      </c>
      <c r="AF4" s="23">
        <v>1410.5</v>
      </c>
      <c r="AG4" s="23">
        <v>67</v>
      </c>
      <c r="AH4" s="36">
        <f t="shared" si="9"/>
        <v>137</v>
      </c>
      <c r="AI4" s="21">
        <f t="shared" si="10"/>
        <v>15.199999999999818</v>
      </c>
      <c r="AJ4" s="22">
        <f t="shared" si="11"/>
        <v>121.80000000000018</v>
      </c>
      <c r="AK4" s="27">
        <f t="shared" si="12"/>
        <v>629.97999999999956</v>
      </c>
      <c r="AL4" s="40">
        <f t="shared" si="13"/>
        <v>751.77999999999975</v>
      </c>
    </row>
    <row r="5" spans="1:38" ht="25.5" customHeight="1">
      <c r="A5" s="39" t="s">
        <v>267</v>
      </c>
      <c r="B5" s="35">
        <v>4271.91</v>
      </c>
      <c r="C5" s="35">
        <v>146.19999999999999</v>
      </c>
      <c r="D5" s="23">
        <v>2958</v>
      </c>
      <c r="E5" s="23">
        <v>493.52</v>
      </c>
      <c r="F5" s="23">
        <v>0.84899999999999998</v>
      </c>
      <c r="G5" s="23">
        <v>0.33900000000000002</v>
      </c>
      <c r="H5" s="23">
        <v>40</v>
      </c>
      <c r="I5" s="5">
        <f t="shared" si="0"/>
        <v>4.0000000000009095</v>
      </c>
      <c r="J5" s="6">
        <f t="shared" si="1"/>
        <v>387.99999999999272</v>
      </c>
      <c r="K5" s="23">
        <v>194508.66</v>
      </c>
      <c r="L5" s="23">
        <v>0.99099999999999999</v>
      </c>
      <c r="M5" s="7">
        <f t="shared" si="2"/>
        <v>135.5</v>
      </c>
      <c r="N5" s="35">
        <v>94</v>
      </c>
      <c r="O5" s="8">
        <f t="shared" si="3"/>
        <v>0</v>
      </c>
      <c r="P5" s="23">
        <v>608.6</v>
      </c>
      <c r="Q5" s="23">
        <v>75</v>
      </c>
      <c r="R5" s="23">
        <v>131161.4</v>
      </c>
      <c r="S5" s="23">
        <v>0.86099999999999999</v>
      </c>
      <c r="T5" s="25">
        <f t="shared" si="4"/>
        <v>72.690000000002328</v>
      </c>
      <c r="U5" s="26">
        <f t="shared" si="5"/>
        <v>596.18999999999505</v>
      </c>
      <c r="V5" s="35">
        <v>34</v>
      </c>
      <c r="W5" s="35">
        <v>32</v>
      </c>
      <c r="X5" s="35">
        <v>36</v>
      </c>
      <c r="Y5" s="11">
        <f t="shared" si="6"/>
        <v>102</v>
      </c>
      <c r="Z5" s="23">
        <v>6788.23</v>
      </c>
      <c r="AA5" s="8">
        <f t="shared" si="7"/>
        <v>0</v>
      </c>
      <c r="AB5" s="23">
        <v>3086.23</v>
      </c>
      <c r="AC5" s="23">
        <v>60</v>
      </c>
      <c r="AD5" s="23">
        <v>19966</v>
      </c>
      <c r="AE5" s="8">
        <f t="shared" si="8"/>
        <v>2</v>
      </c>
      <c r="AF5" s="23">
        <v>1410.6</v>
      </c>
      <c r="AG5" s="23">
        <v>66</v>
      </c>
      <c r="AH5" s="36">
        <f t="shared" si="9"/>
        <v>102</v>
      </c>
      <c r="AI5" s="21">
        <f t="shared" si="10"/>
        <v>4.0000000000009095</v>
      </c>
      <c r="AJ5" s="22">
        <f t="shared" si="11"/>
        <v>97.999999999999091</v>
      </c>
      <c r="AK5" s="27">
        <f t="shared" si="12"/>
        <v>598.18999999999505</v>
      </c>
      <c r="AL5" s="40">
        <f t="shared" si="13"/>
        <v>696.18999999999414</v>
      </c>
    </row>
    <row r="6" spans="1:38" ht="25.5" customHeight="1">
      <c r="A6" s="39" t="s">
        <v>268</v>
      </c>
      <c r="B6" s="35">
        <v>4283.25</v>
      </c>
      <c r="C6" s="35">
        <v>113.4</v>
      </c>
      <c r="D6" s="23">
        <v>2967.7</v>
      </c>
      <c r="E6" s="23">
        <v>493.62</v>
      </c>
      <c r="F6" s="23">
        <v>0.85</v>
      </c>
      <c r="G6" s="23">
        <v>0.34399999999999997</v>
      </c>
      <c r="H6" s="23">
        <v>40</v>
      </c>
      <c r="I6" s="5">
        <f t="shared" si="0"/>
        <v>6.3999999999987267</v>
      </c>
      <c r="J6" s="6">
        <f t="shared" si="1"/>
        <v>437.60000000000218</v>
      </c>
      <c r="K6" s="23">
        <v>194644.16</v>
      </c>
      <c r="L6" s="23">
        <v>0.99099999999999999</v>
      </c>
      <c r="M6" s="7">
        <f t="shared" si="2"/>
        <v>125.48999999999069</v>
      </c>
      <c r="N6" s="23">
        <v>94</v>
      </c>
      <c r="O6" s="8">
        <f t="shared" si="3"/>
        <v>1</v>
      </c>
      <c r="P6" s="23">
        <v>608.79999999999995</v>
      </c>
      <c r="Q6" s="23">
        <v>75</v>
      </c>
      <c r="R6" s="23">
        <v>131234.09</v>
      </c>
      <c r="S6" s="23">
        <v>0.85899999999999999</v>
      </c>
      <c r="T6" s="25">
        <f t="shared" si="4"/>
        <v>49.690000000002328</v>
      </c>
      <c r="U6" s="26">
        <f t="shared" si="5"/>
        <v>613.7799999999952</v>
      </c>
      <c r="V6" s="35">
        <v>45</v>
      </c>
      <c r="W6" s="35">
        <v>48</v>
      </c>
      <c r="X6" s="35">
        <v>49</v>
      </c>
      <c r="Y6" s="11">
        <f t="shared" si="6"/>
        <v>142</v>
      </c>
      <c r="Z6" s="23">
        <v>6788.23</v>
      </c>
      <c r="AA6" s="8">
        <f t="shared" si="7"/>
        <v>0</v>
      </c>
      <c r="AB6" s="23">
        <v>3086.27</v>
      </c>
      <c r="AC6" s="23">
        <v>60</v>
      </c>
      <c r="AD6" s="23">
        <v>19968</v>
      </c>
      <c r="AE6" s="8">
        <f t="shared" si="8"/>
        <v>3</v>
      </c>
      <c r="AF6" s="23">
        <v>1410.8</v>
      </c>
      <c r="AG6" s="23">
        <v>66</v>
      </c>
      <c r="AH6" s="36">
        <f t="shared" si="9"/>
        <v>142</v>
      </c>
      <c r="AI6" s="21">
        <f t="shared" si="10"/>
        <v>6.3999999999987267</v>
      </c>
      <c r="AJ6" s="22">
        <f t="shared" si="11"/>
        <v>135.60000000000127</v>
      </c>
      <c r="AK6" s="27">
        <f t="shared" si="12"/>
        <v>616.7799999999952</v>
      </c>
      <c r="AL6" s="40">
        <f t="shared" si="13"/>
        <v>752.37999999999647</v>
      </c>
    </row>
    <row r="7" spans="1:38" ht="25.5" customHeight="1">
      <c r="A7" s="39" t="s">
        <v>269</v>
      </c>
      <c r="B7" s="35">
        <v>4301.07</v>
      </c>
      <c r="C7" s="35">
        <v>178.2</v>
      </c>
      <c r="D7" s="23">
        <v>2978.64</v>
      </c>
      <c r="E7" s="23">
        <v>493.78</v>
      </c>
      <c r="F7" s="23">
        <v>0.84399999999999997</v>
      </c>
      <c r="G7" s="23">
        <v>0.316</v>
      </c>
      <c r="H7" s="23">
        <v>40</v>
      </c>
      <c r="I7" s="5">
        <f t="shared" si="0"/>
        <v>1.2000000000011823</v>
      </c>
      <c r="J7" s="6">
        <f t="shared" si="1"/>
        <v>523.60000000000582</v>
      </c>
      <c r="K7" s="23">
        <v>194769.65</v>
      </c>
      <c r="L7" s="23">
        <v>0.99099999999999999</v>
      </c>
      <c r="M7" s="7">
        <f t="shared" si="2"/>
        <v>112.91000000000349</v>
      </c>
      <c r="N7" s="23">
        <v>95</v>
      </c>
      <c r="O7" s="8">
        <f t="shared" si="3"/>
        <v>0</v>
      </c>
      <c r="P7" s="23">
        <v>608.79999999999995</v>
      </c>
      <c r="Q7" s="23">
        <v>74</v>
      </c>
      <c r="R7" s="23">
        <v>131283.78</v>
      </c>
      <c r="S7" s="23">
        <v>0.86</v>
      </c>
      <c r="T7" s="25">
        <f t="shared" si="4"/>
        <v>38</v>
      </c>
      <c r="U7" s="26">
        <f t="shared" si="5"/>
        <v>674.51000000000931</v>
      </c>
      <c r="V7" s="35">
        <v>32</v>
      </c>
      <c r="W7" s="35">
        <v>37</v>
      </c>
      <c r="X7" s="35">
        <v>36</v>
      </c>
      <c r="Y7" s="11">
        <f t="shared" si="6"/>
        <v>105</v>
      </c>
      <c r="Z7" s="23">
        <v>6788.23</v>
      </c>
      <c r="AA7" s="8">
        <f t="shared" si="7"/>
        <v>0</v>
      </c>
      <c r="AB7" s="23">
        <v>3086.32</v>
      </c>
      <c r="AC7" s="23">
        <v>100</v>
      </c>
      <c r="AD7" s="23">
        <v>19971</v>
      </c>
      <c r="AE7" s="8">
        <f t="shared" si="8"/>
        <v>3</v>
      </c>
      <c r="AF7" s="23">
        <v>1411</v>
      </c>
      <c r="AG7" s="23">
        <v>78</v>
      </c>
      <c r="AH7" s="36">
        <f t="shared" si="9"/>
        <v>105</v>
      </c>
      <c r="AI7" s="21">
        <f t="shared" si="10"/>
        <v>1.2000000000011823</v>
      </c>
      <c r="AJ7" s="22">
        <f t="shared" si="11"/>
        <v>103.79999999999882</v>
      </c>
      <c r="AK7" s="27">
        <f t="shared" si="12"/>
        <v>677.51000000000931</v>
      </c>
      <c r="AL7" s="40">
        <f t="shared" si="13"/>
        <v>781.31000000000813</v>
      </c>
    </row>
    <row r="8" spans="1:38" ht="25.5" customHeight="1">
      <c r="A8" s="39" t="s">
        <v>270</v>
      </c>
      <c r="B8" s="35">
        <v>4319.8999999999996</v>
      </c>
      <c r="C8" s="35">
        <v>188.3</v>
      </c>
      <c r="D8" s="23">
        <v>2991.73</v>
      </c>
      <c r="E8" s="23">
        <v>493.81</v>
      </c>
      <c r="F8" s="23">
        <v>0.84499999999999997</v>
      </c>
      <c r="G8" s="23">
        <v>0.31900000000000001</v>
      </c>
      <c r="H8" s="23">
        <v>40</v>
      </c>
      <c r="I8" s="5">
        <f t="shared" si="0"/>
        <v>8.3999999999991815</v>
      </c>
      <c r="J8" s="6">
        <f t="shared" si="1"/>
        <v>660.39999999999054</v>
      </c>
      <c r="K8" s="23">
        <v>194882.56</v>
      </c>
      <c r="L8" s="23">
        <v>0.99099999999999999</v>
      </c>
      <c r="M8" s="7">
        <f t="shared" si="2"/>
        <v>126.52999999999884</v>
      </c>
      <c r="N8" s="23">
        <v>95</v>
      </c>
      <c r="O8" s="8">
        <f t="shared" si="3"/>
        <v>0</v>
      </c>
      <c r="P8" s="23">
        <v>609.79999999999995</v>
      </c>
      <c r="Q8" s="23">
        <v>73</v>
      </c>
      <c r="R8" s="23">
        <v>131321.78</v>
      </c>
      <c r="S8" s="23">
        <v>0.86099999999999999</v>
      </c>
      <c r="T8" s="25">
        <f t="shared" si="4"/>
        <v>64.769999999989523</v>
      </c>
      <c r="U8" s="26">
        <f t="shared" si="5"/>
        <v>851.6999999999789</v>
      </c>
      <c r="V8" s="35">
        <v>32</v>
      </c>
      <c r="W8" s="35">
        <v>37</v>
      </c>
      <c r="X8" s="35">
        <v>36</v>
      </c>
      <c r="Y8" s="11">
        <f t="shared" si="6"/>
        <v>105</v>
      </c>
      <c r="Z8" s="23">
        <v>6788.23</v>
      </c>
      <c r="AA8" s="8">
        <f t="shared" si="7"/>
        <v>0</v>
      </c>
      <c r="AB8" s="23">
        <v>3086.32</v>
      </c>
      <c r="AC8" s="23">
        <v>100</v>
      </c>
      <c r="AD8" s="23">
        <v>19974</v>
      </c>
      <c r="AE8" s="8">
        <f t="shared" si="8"/>
        <v>4</v>
      </c>
      <c r="AF8" s="23">
        <v>1411.2</v>
      </c>
      <c r="AG8" s="23">
        <v>77</v>
      </c>
      <c r="AH8" s="36">
        <f t="shared" si="9"/>
        <v>105</v>
      </c>
      <c r="AI8" s="21">
        <f t="shared" si="10"/>
        <v>8.3999999999991815</v>
      </c>
      <c r="AJ8" s="22">
        <f t="shared" si="11"/>
        <v>96.600000000000819</v>
      </c>
      <c r="AK8" s="27">
        <f t="shared" si="12"/>
        <v>855.6999999999789</v>
      </c>
      <c r="AL8" s="40">
        <f t="shared" si="13"/>
        <v>952.29999999997972</v>
      </c>
    </row>
    <row r="9" spans="1:38" ht="25.5" customHeight="1">
      <c r="A9" s="39" t="s">
        <v>271</v>
      </c>
      <c r="B9" s="35">
        <v>4347.82</v>
      </c>
      <c r="C9" s="35">
        <v>279.2</v>
      </c>
      <c r="D9" s="23">
        <v>3008.24</v>
      </c>
      <c r="E9" s="23">
        <v>494.02</v>
      </c>
      <c r="F9" s="23">
        <v>0.85299999999999998</v>
      </c>
      <c r="G9" s="23">
        <v>0.34699999999999998</v>
      </c>
      <c r="H9" s="23">
        <v>40</v>
      </c>
      <c r="I9" s="5">
        <f t="shared" si="0"/>
        <v>20.800000000001546</v>
      </c>
      <c r="J9" s="6">
        <f t="shared" si="1"/>
        <v>490.40000000000873</v>
      </c>
      <c r="K9" s="23">
        <v>195009.09</v>
      </c>
      <c r="L9" s="23">
        <v>0.99099999999999999</v>
      </c>
      <c r="M9" s="7">
        <f t="shared" si="2"/>
        <v>134.67000000001281</v>
      </c>
      <c r="N9" s="23">
        <v>95</v>
      </c>
      <c r="O9" s="8">
        <f t="shared" si="3"/>
        <v>0</v>
      </c>
      <c r="P9" s="23">
        <v>610.1</v>
      </c>
      <c r="Q9" s="23">
        <v>72</v>
      </c>
      <c r="R9" s="23">
        <v>131386.54999999999</v>
      </c>
      <c r="S9" s="23">
        <v>0.86099999999999999</v>
      </c>
      <c r="T9" s="25">
        <f t="shared" si="4"/>
        <v>132.48000000001048</v>
      </c>
      <c r="U9" s="26">
        <f t="shared" si="5"/>
        <v>757.55000000003201</v>
      </c>
      <c r="V9" s="35">
        <v>42</v>
      </c>
      <c r="W9" s="35">
        <v>43</v>
      </c>
      <c r="X9" s="35">
        <v>46</v>
      </c>
      <c r="Y9" s="11">
        <f t="shared" si="6"/>
        <v>131</v>
      </c>
      <c r="Z9" s="23">
        <v>6788.23</v>
      </c>
      <c r="AA9" s="8">
        <f t="shared" si="7"/>
        <v>0</v>
      </c>
      <c r="AB9" s="23">
        <v>3086.24</v>
      </c>
      <c r="AC9" s="23">
        <v>100</v>
      </c>
      <c r="AD9" s="23">
        <v>19978</v>
      </c>
      <c r="AE9" s="8">
        <f t="shared" si="8"/>
        <v>23</v>
      </c>
      <c r="AF9" s="23">
        <v>1411.8</v>
      </c>
      <c r="AG9" s="23">
        <v>77</v>
      </c>
      <c r="AH9" s="36">
        <f t="shared" si="9"/>
        <v>131</v>
      </c>
      <c r="AI9" s="21">
        <f t="shared" si="10"/>
        <v>20.800000000001546</v>
      </c>
      <c r="AJ9" s="22">
        <f t="shared" si="11"/>
        <v>110.19999999999845</v>
      </c>
      <c r="AK9" s="27">
        <f t="shared" si="12"/>
        <v>780.55000000003201</v>
      </c>
      <c r="AL9" s="40">
        <f t="shared" si="13"/>
        <v>890.75000000003047</v>
      </c>
    </row>
    <row r="10" spans="1:38" ht="25.5" customHeight="1">
      <c r="A10" s="39" t="s">
        <v>272</v>
      </c>
      <c r="B10" s="35">
        <v>4374.72</v>
      </c>
      <c r="C10" s="35">
        <v>269</v>
      </c>
      <c r="D10" s="23">
        <v>3020.5</v>
      </c>
      <c r="E10" s="23">
        <v>494.54</v>
      </c>
      <c r="F10" s="23">
        <v>0.85</v>
      </c>
      <c r="G10" s="23">
        <v>0.35599999999999998</v>
      </c>
      <c r="H10" s="23">
        <v>40</v>
      </c>
      <c r="I10" s="5">
        <f t="shared" si="0"/>
        <v>8.7999999999988177</v>
      </c>
      <c r="J10" s="6">
        <f t="shared" si="1"/>
        <v>492.80000000000655</v>
      </c>
      <c r="K10" s="23">
        <v>195143.76</v>
      </c>
      <c r="L10" s="23">
        <v>0.99099999999999999</v>
      </c>
      <c r="M10" s="7">
        <f t="shared" si="2"/>
        <v>121.73999999999069</v>
      </c>
      <c r="N10" s="23">
        <v>95</v>
      </c>
      <c r="O10" s="8">
        <f t="shared" si="3"/>
        <v>0</v>
      </c>
      <c r="P10" s="23">
        <v>610.1</v>
      </c>
      <c r="Q10" s="23">
        <v>72</v>
      </c>
      <c r="R10" s="23">
        <v>131519.03</v>
      </c>
      <c r="S10" s="23">
        <v>0.86099999999999999</v>
      </c>
      <c r="T10" s="25">
        <f t="shared" si="4"/>
        <v>54.64000000001397</v>
      </c>
      <c r="U10" s="26">
        <f t="shared" si="5"/>
        <v>669.1800000000112</v>
      </c>
      <c r="V10" s="35">
        <v>40</v>
      </c>
      <c r="W10" s="35">
        <v>42</v>
      </c>
      <c r="X10" s="35">
        <v>43</v>
      </c>
      <c r="Y10" s="11">
        <f t="shared" si="6"/>
        <v>125</v>
      </c>
      <c r="Z10" s="23">
        <v>6788.23</v>
      </c>
      <c r="AA10" s="8">
        <f t="shared" si="7"/>
        <v>0</v>
      </c>
      <c r="AB10" s="23">
        <v>3086.34</v>
      </c>
      <c r="AC10" s="23">
        <v>100</v>
      </c>
      <c r="AD10" s="23">
        <v>20001</v>
      </c>
      <c r="AE10" s="8">
        <f t="shared" si="8"/>
        <v>2</v>
      </c>
      <c r="AF10" s="23">
        <v>1413</v>
      </c>
      <c r="AG10" s="23">
        <v>67</v>
      </c>
      <c r="AH10" s="36">
        <f t="shared" si="9"/>
        <v>125</v>
      </c>
      <c r="AI10" s="21">
        <f t="shared" si="10"/>
        <v>8.7999999999988177</v>
      </c>
      <c r="AJ10" s="22">
        <f t="shared" si="11"/>
        <v>116.20000000000118</v>
      </c>
      <c r="AK10" s="27">
        <f t="shared" si="12"/>
        <v>671.1800000000112</v>
      </c>
      <c r="AL10" s="40">
        <f t="shared" si="13"/>
        <v>787.38000000001239</v>
      </c>
    </row>
    <row r="11" spans="1:38" ht="25.5" customHeight="1">
      <c r="A11" s="39" t="s">
        <v>273</v>
      </c>
      <c r="B11" s="35">
        <v>4396.8999999999996</v>
      </c>
      <c r="C11" s="35">
        <v>221.8</v>
      </c>
      <c r="D11" s="23">
        <v>3032.82</v>
      </c>
      <c r="E11" s="23">
        <v>494.76</v>
      </c>
      <c r="F11" s="23">
        <v>0.85099999999999998</v>
      </c>
      <c r="G11" s="23">
        <v>0.36499999999999999</v>
      </c>
      <c r="H11" s="23">
        <v>40</v>
      </c>
      <c r="I11" s="5">
        <f t="shared" si="0"/>
        <v>36.000000000001364</v>
      </c>
      <c r="J11" s="6">
        <f t="shared" si="1"/>
        <v>945.99999999998545</v>
      </c>
      <c r="K11" s="23">
        <v>195265.5</v>
      </c>
      <c r="L11" s="23">
        <v>0.99099999999999999</v>
      </c>
      <c r="M11" s="7">
        <f t="shared" si="2"/>
        <v>270.75</v>
      </c>
      <c r="N11" s="23">
        <v>95</v>
      </c>
      <c r="O11" s="8">
        <f t="shared" si="3"/>
        <v>0</v>
      </c>
      <c r="P11" s="23">
        <v>610.29999999999995</v>
      </c>
      <c r="Q11" s="23">
        <v>100</v>
      </c>
      <c r="R11" s="23">
        <v>131573.67000000001</v>
      </c>
      <c r="S11" s="23">
        <v>0.86099999999999999</v>
      </c>
      <c r="T11" s="25">
        <f t="shared" si="4"/>
        <v>3.7899999999790452</v>
      </c>
      <c r="U11" s="26">
        <f t="shared" si="5"/>
        <v>1220.5399999999645</v>
      </c>
      <c r="V11" s="35">
        <v>41</v>
      </c>
      <c r="W11" s="35">
        <v>42</v>
      </c>
      <c r="X11" s="35">
        <v>44</v>
      </c>
      <c r="Y11" s="11">
        <f t="shared" si="6"/>
        <v>127</v>
      </c>
      <c r="Z11" s="23">
        <v>6788.23</v>
      </c>
      <c r="AA11" s="8">
        <f t="shared" si="7"/>
        <v>0</v>
      </c>
      <c r="AB11" s="23">
        <v>3086.38</v>
      </c>
      <c r="AC11" s="23">
        <v>100</v>
      </c>
      <c r="AD11" s="23">
        <v>20003</v>
      </c>
      <c r="AE11" s="8">
        <f t="shared" si="8"/>
        <v>15</v>
      </c>
      <c r="AF11" s="23">
        <v>1413.1</v>
      </c>
      <c r="AG11" s="23">
        <v>97</v>
      </c>
      <c r="AH11" s="36">
        <f t="shared" si="9"/>
        <v>127</v>
      </c>
      <c r="AI11" s="21">
        <f t="shared" si="10"/>
        <v>36.000000000001364</v>
      </c>
      <c r="AJ11" s="22">
        <f t="shared" si="11"/>
        <v>90.999999999998636</v>
      </c>
      <c r="AK11" s="27">
        <f t="shared" si="12"/>
        <v>1235.5399999999645</v>
      </c>
      <c r="AL11" s="40">
        <f t="shared" si="13"/>
        <v>1326.5399999999631</v>
      </c>
    </row>
    <row r="12" spans="1:38" ht="25.5" customHeight="1">
      <c r="A12" s="39" t="s">
        <v>274</v>
      </c>
      <c r="B12" s="35">
        <v>4430.79</v>
      </c>
      <c r="C12" s="35">
        <v>165.3</v>
      </c>
      <c r="D12" s="23">
        <v>3056.47</v>
      </c>
      <c r="E12" s="23">
        <v>495.66</v>
      </c>
      <c r="F12" s="23">
        <v>0.85399999999999998</v>
      </c>
      <c r="G12" s="23">
        <v>0.39700000000000002</v>
      </c>
      <c r="H12" s="23">
        <v>40</v>
      </c>
      <c r="I12" s="5">
        <f t="shared" si="0"/>
        <v>0</v>
      </c>
      <c r="J12" s="6">
        <f t="shared" si="1"/>
        <v>539.20000000000073</v>
      </c>
      <c r="K12" s="23">
        <v>195536.25</v>
      </c>
      <c r="L12" s="23">
        <v>0.99199999999999999</v>
      </c>
      <c r="M12" s="7">
        <f t="shared" si="2"/>
        <v>123.42999999999302</v>
      </c>
      <c r="N12" s="23">
        <v>95</v>
      </c>
      <c r="O12" s="8">
        <f t="shared" si="3"/>
        <v>0</v>
      </c>
      <c r="P12" s="23">
        <v>610.29999999999995</v>
      </c>
      <c r="Q12" s="23">
        <v>100</v>
      </c>
      <c r="R12" s="23">
        <v>131577.46</v>
      </c>
      <c r="S12" s="23">
        <v>0.86099999999999999</v>
      </c>
      <c r="T12" s="25">
        <f t="shared" si="4"/>
        <v>188.10000000000582</v>
      </c>
      <c r="U12" s="26">
        <f t="shared" si="5"/>
        <v>850.72999999999956</v>
      </c>
      <c r="V12" s="35">
        <v>40</v>
      </c>
      <c r="W12" s="35">
        <v>38</v>
      </c>
      <c r="X12" s="35">
        <v>45</v>
      </c>
      <c r="Y12" s="11">
        <f t="shared" si="6"/>
        <v>123</v>
      </c>
      <c r="Z12" s="23">
        <v>6788.23</v>
      </c>
      <c r="AA12" s="8">
        <f t="shared" si="7"/>
        <v>27.070000000000618</v>
      </c>
      <c r="AB12" s="23">
        <v>3086.41</v>
      </c>
      <c r="AC12" s="23">
        <v>100</v>
      </c>
      <c r="AD12" s="23">
        <v>20018</v>
      </c>
      <c r="AE12" s="8">
        <f t="shared" si="8"/>
        <v>7</v>
      </c>
      <c r="AF12" s="23">
        <v>1414.2</v>
      </c>
      <c r="AG12" s="23">
        <v>94</v>
      </c>
      <c r="AH12" s="36">
        <f t="shared" si="9"/>
        <v>123</v>
      </c>
      <c r="AI12" s="21">
        <f t="shared" si="10"/>
        <v>0</v>
      </c>
      <c r="AJ12" s="22">
        <f t="shared" si="11"/>
        <v>123</v>
      </c>
      <c r="AK12" s="27">
        <f t="shared" si="12"/>
        <v>884.80000000000018</v>
      </c>
      <c r="AL12" s="40">
        <f t="shared" si="13"/>
        <v>1007.8000000000002</v>
      </c>
    </row>
    <row r="13" spans="1:38" ht="25.5" customHeight="1">
      <c r="A13" s="39" t="s">
        <v>275</v>
      </c>
      <c r="B13" s="35">
        <v>4467.3100000000004</v>
      </c>
      <c r="C13" s="35">
        <v>365.2</v>
      </c>
      <c r="D13" s="23">
        <v>3069.95</v>
      </c>
      <c r="E13" s="23">
        <v>495.66</v>
      </c>
      <c r="F13" s="23">
        <v>0.85899999999999999</v>
      </c>
      <c r="G13" s="23">
        <v>0.39700000000000002</v>
      </c>
      <c r="H13" s="23">
        <v>40</v>
      </c>
      <c r="I13" s="5">
        <f t="shared" si="0"/>
        <v>0</v>
      </c>
      <c r="J13" s="6">
        <f t="shared" si="1"/>
        <v>651.200000000008</v>
      </c>
      <c r="K13" s="23">
        <v>195659.68</v>
      </c>
      <c r="L13" s="23">
        <v>0.99199999999999999</v>
      </c>
      <c r="M13" s="7">
        <f t="shared" si="2"/>
        <v>49.100000000005821</v>
      </c>
      <c r="N13" s="23">
        <v>95</v>
      </c>
      <c r="O13" s="8">
        <f t="shared" si="3"/>
        <v>0</v>
      </c>
      <c r="P13" s="23">
        <v>611.79999999999995</v>
      </c>
      <c r="Q13" s="23">
        <v>92</v>
      </c>
      <c r="R13" s="23">
        <v>131765.56</v>
      </c>
      <c r="S13" s="23">
        <v>0.86099999999999999</v>
      </c>
      <c r="T13" s="25">
        <f t="shared" si="4"/>
        <v>8.8300000000162981</v>
      </c>
      <c r="U13" s="26">
        <f t="shared" si="5"/>
        <v>709.13000000003012</v>
      </c>
      <c r="V13" s="35">
        <v>30</v>
      </c>
      <c r="W13" s="35">
        <v>34</v>
      </c>
      <c r="X13" s="35">
        <v>31</v>
      </c>
      <c r="Y13" s="11">
        <f t="shared" si="6"/>
        <v>95</v>
      </c>
      <c r="Z13" s="23">
        <v>6815.3</v>
      </c>
      <c r="AA13" s="8">
        <f t="shared" si="7"/>
        <v>0</v>
      </c>
      <c r="AB13" s="23">
        <v>3091.1</v>
      </c>
      <c r="AC13" s="23">
        <v>45</v>
      </c>
      <c r="AD13" s="23">
        <v>20025</v>
      </c>
      <c r="AE13" s="8">
        <f t="shared" si="8"/>
        <v>2</v>
      </c>
      <c r="AF13" s="23">
        <v>1414.6</v>
      </c>
      <c r="AG13" s="23">
        <v>90</v>
      </c>
      <c r="AH13" s="36">
        <f t="shared" si="9"/>
        <v>95</v>
      </c>
      <c r="AI13" s="21">
        <f t="shared" si="10"/>
        <v>0</v>
      </c>
      <c r="AJ13" s="22">
        <f t="shared" si="11"/>
        <v>95</v>
      </c>
      <c r="AK13" s="27">
        <f t="shared" si="12"/>
        <v>711.13000000003012</v>
      </c>
      <c r="AL13" s="40">
        <f t="shared" si="13"/>
        <v>806.13000000003012</v>
      </c>
    </row>
    <row r="14" spans="1:38" ht="25.5" customHeight="1">
      <c r="A14" s="39" t="s">
        <v>276</v>
      </c>
      <c r="B14" s="23">
        <v>4488.28</v>
      </c>
      <c r="C14" s="23">
        <v>209.7</v>
      </c>
      <c r="D14" s="23">
        <v>3086.23</v>
      </c>
      <c r="E14" s="23">
        <v>495.66</v>
      </c>
      <c r="F14" s="23">
        <v>0.86299999999999999</v>
      </c>
      <c r="G14" s="23">
        <v>0.39700000000000002</v>
      </c>
      <c r="H14" s="23">
        <v>40</v>
      </c>
      <c r="I14" s="5">
        <f t="shared" si="0"/>
        <v>0</v>
      </c>
      <c r="J14" s="6">
        <f t="shared" si="1"/>
        <v>399.59999999999127</v>
      </c>
      <c r="K14" s="23">
        <v>195708.78</v>
      </c>
      <c r="L14" s="23">
        <v>0.99199999999999999</v>
      </c>
      <c r="M14" s="7">
        <f t="shared" si="2"/>
        <v>10.64000000001397</v>
      </c>
      <c r="N14" s="23">
        <v>95</v>
      </c>
      <c r="O14" s="8">
        <f t="shared" si="3"/>
        <v>0</v>
      </c>
      <c r="P14" s="23">
        <v>611.79999999999995</v>
      </c>
      <c r="Q14" s="23">
        <v>92</v>
      </c>
      <c r="R14" s="23">
        <v>131774.39000000001</v>
      </c>
      <c r="S14" s="23">
        <v>0.998</v>
      </c>
      <c r="T14" s="25">
        <f t="shared" si="4"/>
        <v>89.399999999994179</v>
      </c>
      <c r="U14" s="26">
        <f t="shared" si="5"/>
        <v>499.63999999999942</v>
      </c>
      <c r="V14" s="35">
        <v>36</v>
      </c>
      <c r="W14" s="35">
        <v>39</v>
      </c>
      <c r="X14" s="35">
        <v>40</v>
      </c>
      <c r="Y14" s="11">
        <f t="shared" si="6"/>
        <v>115</v>
      </c>
      <c r="Z14" s="23">
        <v>6815.3</v>
      </c>
      <c r="AA14" s="8">
        <f t="shared" si="7"/>
        <v>0</v>
      </c>
      <c r="AB14" s="23">
        <v>3091.15</v>
      </c>
      <c r="AC14" s="23">
        <v>45</v>
      </c>
      <c r="AD14" s="23">
        <v>20027</v>
      </c>
      <c r="AE14" s="8">
        <f t="shared" si="8"/>
        <v>0</v>
      </c>
      <c r="AF14" s="23">
        <v>1414.7</v>
      </c>
      <c r="AG14" s="23">
        <v>89</v>
      </c>
      <c r="AH14" s="36">
        <f t="shared" si="9"/>
        <v>115</v>
      </c>
      <c r="AI14" s="21">
        <f t="shared" si="10"/>
        <v>0</v>
      </c>
      <c r="AJ14" s="22">
        <f t="shared" si="11"/>
        <v>115</v>
      </c>
      <c r="AK14" s="27">
        <f t="shared" si="12"/>
        <v>499.63999999999942</v>
      </c>
      <c r="AL14" s="40">
        <f t="shared" si="13"/>
        <v>614.63999999999942</v>
      </c>
    </row>
    <row r="15" spans="1:38" ht="25.5" customHeight="1">
      <c r="A15" s="39" t="s">
        <v>277</v>
      </c>
      <c r="B15" s="23">
        <v>4505.26</v>
      </c>
      <c r="C15" s="23">
        <v>169.8</v>
      </c>
      <c r="D15" s="23">
        <v>3096.22</v>
      </c>
      <c r="E15" s="23">
        <v>495.66</v>
      </c>
      <c r="F15" s="23">
        <v>0.86299999999999999</v>
      </c>
      <c r="G15" s="23">
        <v>0.39700000000000002</v>
      </c>
      <c r="H15" s="23">
        <v>40</v>
      </c>
      <c r="I15" s="5">
        <f t="shared" si="0"/>
        <v>0</v>
      </c>
      <c r="J15" s="6">
        <f t="shared" si="1"/>
        <v>799.20000000000073</v>
      </c>
      <c r="K15" s="23">
        <v>195719.42</v>
      </c>
      <c r="L15" s="23">
        <v>0.99199999999999999</v>
      </c>
      <c r="M15" s="7">
        <f t="shared" si="2"/>
        <v>21.279999999998836</v>
      </c>
      <c r="N15" s="23">
        <v>95</v>
      </c>
      <c r="O15" s="8">
        <f t="shared" si="3"/>
        <v>0</v>
      </c>
      <c r="P15" s="23">
        <v>611.79999999999995</v>
      </c>
      <c r="Q15" s="23">
        <v>92</v>
      </c>
      <c r="R15" s="23">
        <v>131863.79</v>
      </c>
      <c r="S15" s="23">
        <v>0.998</v>
      </c>
      <c r="T15" s="25">
        <f t="shared" si="4"/>
        <v>20.089999999996508</v>
      </c>
      <c r="U15" s="26">
        <f t="shared" si="5"/>
        <v>840.56999999999607</v>
      </c>
      <c r="V15" s="35">
        <v>42</v>
      </c>
      <c r="W15" s="35">
        <v>43</v>
      </c>
      <c r="X15" s="35">
        <v>41</v>
      </c>
      <c r="Y15" s="11">
        <f t="shared" si="6"/>
        <v>126</v>
      </c>
      <c r="Z15" s="23">
        <v>6815.3</v>
      </c>
      <c r="AA15" s="8">
        <f t="shared" si="7"/>
        <v>0</v>
      </c>
      <c r="AB15" s="23">
        <v>3091.15</v>
      </c>
      <c r="AC15" s="23">
        <v>44</v>
      </c>
      <c r="AD15" s="23">
        <v>20027</v>
      </c>
      <c r="AE15" s="8">
        <f t="shared" si="8"/>
        <v>9</v>
      </c>
      <c r="AF15" s="23">
        <v>1414.7</v>
      </c>
      <c r="AG15" s="23">
        <v>89</v>
      </c>
      <c r="AH15" s="36">
        <f t="shared" si="9"/>
        <v>126</v>
      </c>
      <c r="AI15" s="21">
        <f t="shared" si="10"/>
        <v>0</v>
      </c>
      <c r="AJ15" s="22">
        <f t="shared" si="11"/>
        <v>126</v>
      </c>
      <c r="AK15" s="27">
        <f t="shared" si="12"/>
        <v>849.56999999999607</v>
      </c>
      <c r="AL15" s="40">
        <f t="shared" si="13"/>
        <v>975.56999999999607</v>
      </c>
    </row>
    <row r="16" spans="1:38" ht="25.5" customHeight="1">
      <c r="A16" s="39" t="s">
        <v>278</v>
      </c>
      <c r="B16" s="23">
        <v>4539.22</v>
      </c>
      <c r="C16" s="23">
        <v>339.6</v>
      </c>
      <c r="D16" s="23">
        <v>3116.2</v>
      </c>
      <c r="E16" s="23">
        <v>495.66</v>
      </c>
      <c r="F16" s="23">
        <v>0.86299999999999999</v>
      </c>
      <c r="G16" s="23">
        <v>0.39700000000000002</v>
      </c>
      <c r="H16" s="23">
        <v>40</v>
      </c>
      <c r="I16" s="5">
        <f t="shared" si="0"/>
        <v>0</v>
      </c>
      <c r="J16" s="6">
        <f t="shared" si="1"/>
        <v>399.20000000000073</v>
      </c>
      <c r="K16" s="23">
        <v>195740.7</v>
      </c>
      <c r="L16" s="23">
        <v>0.99199999999999999</v>
      </c>
      <c r="M16" s="7">
        <f t="shared" si="2"/>
        <v>10.669999999983702</v>
      </c>
      <c r="N16" s="23">
        <v>95</v>
      </c>
      <c r="O16" s="8">
        <f t="shared" si="3"/>
        <v>0</v>
      </c>
      <c r="P16" s="23">
        <v>611.79999999999995</v>
      </c>
      <c r="Q16" s="23">
        <v>92</v>
      </c>
      <c r="R16" s="23">
        <v>131883.88</v>
      </c>
      <c r="S16" s="23">
        <v>0.998</v>
      </c>
      <c r="T16" s="25">
        <f t="shared" si="4"/>
        <v>66.880000000004657</v>
      </c>
      <c r="U16" s="26">
        <f t="shared" si="5"/>
        <v>476.74999999998909</v>
      </c>
      <c r="V16" s="35">
        <v>45</v>
      </c>
      <c r="W16" s="35">
        <v>38</v>
      </c>
      <c r="X16" s="35">
        <v>35</v>
      </c>
      <c r="Y16" s="11">
        <f t="shared" si="6"/>
        <v>118</v>
      </c>
      <c r="Z16" s="23">
        <v>6815.3</v>
      </c>
      <c r="AA16" s="8">
        <f t="shared" si="7"/>
        <v>4.3499999999994543</v>
      </c>
      <c r="AB16" s="23">
        <v>3091.15</v>
      </c>
      <c r="AC16" s="23">
        <v>43</v>
      </c>
      <c r="AD16" s="23">
        <v>20036</v>
      </c>
      <c r="AE16" s="8">
        <f t="shared" si="8"/>
        <v>36</v>
      </c>
      <c r="AF16" s="23">
        <v>1416</v>
      </c>
      <c r="AG16" s="23">
        <v>88</v>
      </c>
      <c r="AH16" s="36">
        <f t="shared" si="9"/>
        <v>118</v>
      </c>
      <c r="AI16" s="21">
        <f t="shared" si="10"/>
        <v>0</v>
      </c>
      <c r="AJ16" s="22">
        <f t="shared" si="11"/>
        <v>118</v>
      </c>
      <c r="AK16" s="27">
        <f t="shared" si="12"/>
        <v>517.09999999998854</v>
      </c>
      <c r="AL16" s="40">
        <f t="shared" si="13"/>
        <v>635.09999999998854</v>
      </c>
    </row>
    <row r="17" spans="1:38" ht="25.5" customHeight="1">
      <c r="A17" s="39" t="s">
        <v>279</v>
      </c>
      <c r="B17" s="23">
        <v>4556.2</v>
      </c>
      <c r="C17" s="23">
        <v>169.9</v>
      </c>
      <c r="D17" s="23">
        <v>3126.18</v>
      </c>
      <c r="E17" s="23">
        <v>495.66</v>
      </c>
      <c r="F17" s="23">
        <v>0.84399999999999997</v>
      </c>
      <c r="G17" s="23">
        <v>0.39700000000000002</v>
      </c>
      <c r="H17" s="23">
        <v>40</v>
      </c>
      <c r="I17" s="5">
        <f t="shared" si="0"/>
        <v>0</v>
      </c>
      <c r="J17" s="6">
        <f t="shared" si="1"/>
        <v>422.00000000000728</v>
      </c>
      <c r="K17" s="23">
        <v>195751.37</v>
      </c>
      <c r="L17" s="23">
        <v>0.99199999999999999</v>
      </c>
      <c r="M17" s="7">
        <f t="shared" si="2"/>
        <v>10.070000000006985</v>
      </c>
      <c r="N17" s="23">
        <v>95</v>
      </c>
      <c r="O17" s="8">
        <f t="shared" si="3"/>
        <v>0</v>
      </c>
      <c r="P17" s="23">
        <v>611.79999999999995</v>
      </c>
      <c r="Q17" s="23">
        <v>92</v>
      </c>
      <c r="R17" s="23">
        <v>131950.76</v>
      </c>
      <c r="S17" s="23">
        <v>0.998</v>
      </c>
      <c r="T17" s="25">
        <f t="shared" si="4"/>
        <v>37.690000000002328</v>
      </c>
      <c r="U17" s="26">
        <f t="shared" si="5"/>
        <v>469.76000000001659</v>
      </c>
      <c r="V17" s="35">
        <v>30</v>
      </c>
      <c r="W17" s="35">
        <v>32</v>
      </c>
      <c r="X17" s="35">
        <v>37</v>
      </c>
      <c r="Y17" s="11">
        <f t="shared" si="6"/>
        <v>99</v>
      </c>
      <c r="Z17" s="23">
        <v>6819.65</v>
      </c>
      <c r="AA17" s="8">
        <f t="shared" si="7"/>
        <v>0</v>
      </c>
      <c r="AB17" s="23">
        <v>3093.57</v>
      </c>
      <c r="AC17" s="23">
        <v>70</v>
      </c>
      <c r="AD17" s="23">
        <v>20072</v>
      </c>
      <c r="AE17" s="8">
        <f t="shared" si="8"/>
        <v>0</v>
      </c>
      <c r="AF17" s="23">
        <v>1420.6</v>
      </c>
      <c r="AG17" s="23">
        <v>66</v>
      </c>
      <c r="AH17" s="36">
        <f t="shared" si="9"/>
        <v>99</v>
      </c>
      <c r="AI17" s="21">
        <f t="shared" si="10"/>
        <v>0</v>
      </c>
      <c r="AJ17" s="22">
        <f t="shared" si="11"/>
        <v>99</v>
      </c>
      <c r="AK17" s="27">
        <f t="shared" si="12"/>
        <v>469.76000000001659</v>
      </c>
      <c r="AL17" s="40">
        <f t="shared" si="13"/>
        <v>568.76000000001659</v>
      </c>
    </row>
    <row r="18" spans="1:38" ht="25.5" customHeight="1">
      <c r="A18" s="39" t="s">
        <v>280</v>
      </c>
      <c r="B18" s="23">
        <v>4572.2</v>
      </c>
      <c r="C18" s="23">
        <v>160</v>
      </c>
      <c r="D18" s="23">
        <v>3136.73</v>
      </c>
      <c r="E18" s="23">
        <v>495.66</v>
      </c>
      <c r="F18" s="23">
        <v>0.85</v>
      </c>
      <c r="G18" s="23">
        <v>0.39700000000000002</v>
      </c>
      <c r="H18" s="23">
        <v>40</v>
      </c>
      <c r="I18" s="5">
        <f t="shared" si="0"/>
        <v>0</v>
      </c>
      <c r="J18" s="6">
        <f t="shared" si="1"/>
        <v>405.59999999999491</v>
      </c>
      <c r="K18" s="23">
        <v>195761.44</v>
      </c>
      <c r="L18" s="23">
        <v>0.99199999999999999</v>
      </c>
      <c r="M18" s="7">
        <f t="shared" si="2"/>
        <v>30.299999999988358</v>
      </c>
      <c r="N18" s="23">
        <v>95</v>
      </c>
      <c r="O18" s="8">
        <f t="shared" si="3"/>
        <v>0</v>
      </c>
      <c r="P18" s="23">
        <v>611.79999999999995</v>
      </c>
      <c r="Q18" s="23">
        <v>92</v>
      </c>
      <c r="R18" s="23">
        <v>131988.45000000001</v>
      </c>
      <c r="S18" s="23">
        <v>0.91</v>
      </c>
      <c r="T18" s="25">
        <f t="shared" si="4"/>
        <v>48.479999999981374</v>
      </c>
      <c r="U18" s="26">
        <f t="shared" si="5"/>
        <v>484.37999999996464</v>
      </c>
      <c r="V18" s="35">
        <v>40</v>
      </c>
      <c r="W18" s="35">
        <v>38</v>
      </c>
      <c r="X18" s="35">
        <v>37</v>
      </c>
      <c r="Y18" s="11">
        <f t="shared" si="6"/>
        <v>115</v>
      </c>
      <c r="Z18" s="23">
        <v>6819.65</v>
      </c>
      <c r="AA18" s="8">
        <f t="shared" si="7"/>
        <v>0</v>
      </c>
      <c r="AB18" s="23">
        <v>3093.6</v>
      </c>
      <c r="AC18" s="23">
        <v>70</v>
      </c>
      <c r="AD18" s="23">
        <v>20072</v>
      </c>
      <c r="AE18" s="8">
        <f t="shared" si="8"/>
        <v>1</v>
      </c>
      <c r="AF18" s="23">
        <v>1420.7</v>
      </c>
      <c r="AG18" s="23">
        <v>66</v>
      </c>
      <c r="AH18" s="36">
        <f t="shared" si="9"/>
        <v>115</v>
      </c>
      <c r="AI18" s="21">
        <f t="shared" si="10"/>
        <v>0</v>
      </c>
      <c r="AJ18" s="22">
        <f t="shared" si="11"/>
        <v>115</v>
      </c>
      <c r="AK18" s="27">
        <f t="shared" si="12"/>
        <v>485.37999999996464</v>
      </c>
      <c r="AL18" s="40">
        <f t="shared" si="13"/>
        <v>600.37999999996464</v>
      </c>
    </row>
    <row r="19" spans="1:38" ht="25.5" customHeight="1">
      <c r="A19" s="39" t="s">
        <v>281</v>
      </c>
      <c r="B19" s="23">
        <v>4585.1899999999996</v>
      </c>
      <c r="C19" s="23">
        <v>129.9</v>
      </c>
      <c r="D19" s="23">
        <v>3146.87</v>
      </c>
      <c r="E19" s="23">
        <v>495.66</v>
      </c>
      <c r="F19" s="23">
        <v>0.85099999999999998</v>
      </c>
      <c r="G19" s="23">
        <v>0.39700000000000002</v>
      </c>
      <c r="H19" s="23">
        <v>40</v>
      </c>
      <c r="I19" s="5">
        <f t="shared" si="0"/>
        <v>0</v>
      </c>
      <c r="J19" s="6">
        <f t="shared" si="1"/>
        <v>666.40000000001237</v>
      </c>
      <c r="K19" s="23">
        <v>195791.74</v>
      </c>
      <c r="L19" s="23">
        <v>0.99199999999999999</v>
      </c>
      <c r="M19" s="7">
        <f t="shared" si="2"/>
        <v>133.60000000000582</v>
      </c>
      <c r="N19" s="23">
        <v>95</v>
      </c>
      <c r="O19" s="8">
        <f t="shared" si="3"/>
        <v>0</v>
      </c>
      <c r="P19" s="23">
        <v>611.9</v>
      </c>
      <c r="Q19" s="23">
        <v>92</v>
      </c>
      <c r="R19" s="23">
        <v>132036.93</v>
      </c>
      <c r="S19" s="23">
        <v>0.90200000000000002</v>
      </c>
      <c r="T19" s="25">
        <f t="shared" si="4"/>
        <v>0</v>
      </c>
      <c r="U19" s="26">
        <f t="shared" si="5"/>
        <v>800.00000000001819</v>
      </c>
      <c r="V19" s="35">
        <v>42</v>
      </c>
      <c r="W19" s="35">
        <v>40</v>
      </c>
      <c r="X19" s="35">
        <v>43</v>
      </c>
      <c r="Y19" s="11">
        <f t="shared" si="6"/>
        <v>125</v>
      </c>
      <c r="Z19" s="23">
        <v>6819.65</v>
      </c>
      <c r="AA19" s="8">
        <f t="shared" si="7"/>
        <v>0</v>
      </c>
      <c r="AB19" s="23">
        <v>3093.6</v>
      </c>
      <c r="AC19" s="23">
        <v>100</v>
      </c>
      <c r="AD19" s="23">
        <v>20073</v>
      </c>
      <c r="AE19" s="8">
        <f t="shared" si="8"/>
        <v>1</v>
      </c>
      <c r="AF19" s="23">
        <v>1420.8</v>
      </c>
      <c r="AG19" s="23">
        <v>100</v>
      </c>
      <c r="AH19" s="36">
        <f t="shared" si="9"/>
        <v>125</v>
      </c>
      <c r="AI19" s="21">
        <f t="shared" si="10"/>
        <v>0</v>
      </c>
      <c r="AJ19" s="22">
        <f t="shared" si="11"/>
        <v>125</v>
      </c>
      <c r="AK19" s="27">
        <f t="shared" si="12"/>
        <v>801.00000000001819</v>
      </c>
      <c r="AL19" s="40">
        <f t="shared" si="13"/>
        <v>926.00000000001819</v>
      </c>
    </row>
    <row r="20" spans="1:38" ht="25.5" customHeight="1">
      <c r="A20" s="39" t="s">
        <v>282</v>
      </c>
      <c r="B20" s="23">
        <v>4604.28</v>
      </c>
      <c r="C20" s="23">
        <v>190.9</v>
      </c>
      <c r="D20" s="23">
        <v>3163.53</v>
      </c>
      <c r="E20" s="23">
        <v>495.66</v>
      </c>
      <c r="F20" s="23">
        <v>0.85499999999999998</v>
      </c>
      <c r="G20" s="23">
        <v>0.39700000000000002</v>
      </c>
      <c r="H20" s="23">
        <v>40</v>
      </c>
      <c r="I20" s="5">
        <f t="shared" si="0"/>
        <v>0</v>
      </c>
      <c r="J20" s="6">
        <f t="shared" si="1"/>
        <v>747.99999999999272</v>
      </c>
      <c r="K20" s="23">
        <v>195925.34</v>
      </c>
      <c r="L20" s="23">
        <v>0.99199999999999999</v>
      </c>
      <c r="M20" s="7">
        <f t="shared" si="2"/>
        <v>138.72000000000116</v>
      </c>
      <c r="N20" s="23">
        <v>95</v>
      </c>
      <c r="O20" s="8">
        <f t="shared" si="3"/>
        <v>0</v>
      </c>
      <c r="P20" s="23">
        <v>612.9</v>
      </c>
      <c r="Q20" s="23">
        <v>96</v>
      </c>
      <c r="R20" s="23">
        <v>132036.93</v>
      </c>
      <c r="S20" s="23">
        <v>0.90200000000000002</v>
      </c>
      <c r="T20" s="25">
        <f t="shared" si="4"/>
        <v>86.25</v>
      </c>
      <c r="U20" s="26">
        <f t="shared" si="5"/>
        <v>972.96999999999389</v>
      </c>
      <c r="V20" s="35">
        <v>30</v>
      </c>
      <c r="W20" s="35">
        <v>33</v>
      </c>
      <c r="X20" s="35">
        <v>32</v>
      </c>
      <c r="Y20" s="11">
        <f t="shared" si="6"/>
        <v>95</v>
      </c>
      <c r="Z20" s="23">
        <v>6819.65</v>
      </c>
      <c r="AA20" s="8">
        <f t="shared" si="7"/>
        <v>0</v>
      </c>
      <c r="AB20" s="23">
        <v>3093.63</v>
      </c>
      <c r="AC20" s="23">
        <v>100</v>
      </c>
      <c r="AD20" s="23">
        <v>20074</v>
      </c>
      <c r="AE20" s="8">
        <f t="shared" si="8"/>
        <v>1</v>
      </c>
      <c r="AF20" s="23">
        <v>1420.9</v>
      </c>
      <c r="AG20" s="23">
        <v>100</v>
      </c>
      <c r="AH20" s="36">
        <f t="shared" si="9"/>
        <v>95</v>
      </c>
      <c r="AI20" s="21">
        <f t="shared" si="10"/>
        <v>0</v>
      </c>
      <c r="AJ20" s="22">
        <f t="shared" si="11"/>
        <v>95</v>
      </c>
      <c r="AK20" s="27">
        <f t="shared" si="12"/>
        <v>973.96999999999389</v>
      </c>
      <c r="AL20" s="40">
        <f t="shared" si="13"/>
        <v>1068.9699999999939</v>
      </c>
    </row>
    <row r="21" spans="1:38" ht="25.5" customHeight="1">
      <c r="A21" s="39" t="s">
        <v>283</v>
      </c>
      <c r="B21" s="23">
        <v>4623.9799999999996</v>
      </c>
      <c r="C21" s="23">
        <v>197</v>
      </c>
      <c r="D21" s="23">
        <v>3182.23</v>
      </c>
      <c r="E21" s="23">
        <v>495.66</v>
      </c>
      <c r="F21" s="23">
        <v>0.85899999999999999</v>
      </c>
      <c r="G21" s="23">
        <v>0.39700000000000002</v>
      </c>
      <c r="H21" s="23">
        <v>40</v>
      </c>
      <c r="I21" s="5">
        <f t="shared" si="0"/>
        <v>0</v>
      </c>
      <c r="J21" s="6">
        <f t="shared" si="1"/>
        <v>693.60000000000582</v>
      </c>
      <c r="K21" s="23">
        <v>196064.06</v>
      </c>
      <c r="L21" s="23">
        <v>0.99199999999999999</v>
      </c>
      <c r="M21" s="7">
        <f t="shared" si="2"/>
        <v>138.72000000000116</v>
      </c>
      <c r="N21" s="23">
        <v>95</v>
      </c>
      <c r="O21" s="8">
        <f t="shared" si="3"/>
        <v>0</v>
      </c>
      <c r="P21" s="23">
        <v>613</v>
      </c>
      <c r="Q21" s="23">
        <v>96</v>
      </c>
      <c r="R21" s="23">
        <v>132123.18</v>
      </c>
      <c r="S21" s="23">
        <v>0.90200000000000002</v>
      </c>
      <c r="T21" s="25">
        <f t="shared" si="4"/>
        <v>0</v>
      </c>
      <c r="U21" s="26">
        <f t="shared" si="5"/>
        <v>832.32000000000698</v>
      </c>
      <c r="V21" s="35">
        <v>34</v>
      </c>
      <c r="W21" s="35">
        <v>31</v>
      </c>
      <c r="X21" s="35">
        <v>36</v>
      </c>
      <c r="Y21" s="11">
        <f t="shared" si="6"/>
        <v>101</v>
      </c>
      <c r="Z21" s="23">
        <v>6819.65</v>
      </c>
      <c r="AA21" s="8">
        <f t="shared" si="7"/>
        <v>0</v>
      </c>
      <c r="AB21" s="23">
        <v>3093.63</v>
      </c>
      <c r="AC21" s="23">
        <v>100</v>
      </c>
      <c r="AD21" s="23">
        <v>20075</v>
      </c>
      <c r="AE21" s="8">
        <f t="shared" si="8"/>
        <v>2</v>
      </c>
      <c r="AF21" s="23">
        <v>1420.9</v>
      </c>
      <c r="AG21" s="23">
        <v>100</v>
      </c>
      <c r="AH21" s="36">
        <f t="shared" si="9"/>
        <v>101</v>
      </c>
      <c r="AI21" s="21">
        <f t="shared" si="10"/>
        <v>0</v>
      </c>
      <c r="AJ21" s="22">
        <f t="shared" si="11"/>
        <v>101</v>
      </c>
      <c r="AK21" s="27">
        <f t="shared" si="12"/>
        <v>834.32000000000698</v>
      </c>
      <c r="AL21" s="40">
        <f t="shared" si="13"/>
        <v>935.32000000000698</v>
      </c>
    </row>
    <row r="22" spans="1:38" ht="25.5" customHeight="1">
      <c r="A22" s="39" t="s">
        <v>284</v>
      </c>
      <c r="B22" s="23">
        <v>4645</v>
      </c>
      <c r="C22" s="23">
        <v>210.2</v>
      </c>
      <c r="D22" s="23">
        <v>3199.57</v>
      </c>
      <c r="E22" s="23">
        <v>495.66</v>
      </c>
      <c r="F22" s="23">
        <v>0.86299999999999999</v>
      </c>
      <c r="G22" s="23">
        <v>0.39700000000000002</v>
      </c>
      <c r="H22" s="23">
        <v>40</v>
      </c>
      <c r="I22" s="5">
        <f t="shared" si="0"/>
        <v>0</v>
      </c>
      <c r="J22" s="6">
        <f t="shared" si="1"/>
        <v>1143.1999999999971</v>
      </c>
      <c r="K22" s="23">
        <v>196202.78</v>
      </c>
      <c r="L22" s="23">
        <v>0.99199999999999999</v>
      </c>
      <c r="M22" s="7">
        <f t="shared" si="2"/>
        <v>372.79999999998836</v>
      </c>
      <c r="N22" s="23">
        <v>95</v>
      </c>
      <c r="O22" s="8">
        <f t="shared" si="3"/>
        <v>0</v>
      </c>
      <c r="P22" s="23">
        <v>622.23</v>
      </c>
      <c r="Q22" s="23">
        <v>74</v>
      </c>
      <c r="R22" s="23">
        <v>132123.18</v>
      </c>
      <c r="S22" s="23">
        <v>0.90200000000000002</v>
      </c>
      <c r="T22" s="25">
        <f t="shared" si="4"/>
        <v>151.04000000000815</v>
      </c>
      <c r="U22" s="26">
        <f t="shared" si="5"/>
        <v>1667.0399999999936</v>
      </c>
      <c r="V22" s="35">
        <v>30</v>
      </c>
      <c r="W22" s="35">
        <v>32</v>
      </c>
      <c r="X22" s="35">
        <v>34</v>
      </c>
      <c r="Y22" s="11">
        <f t="shared" si="6"/>
        <v>96</v>
      </c>
      <c r="Z22" s="23">
        <v>6819.65</v>
      </c>
      <c r="AA22" s="8">
        <f t="shared" si="7"/>
        <v>0</v>
      </c>
      <c r="AB22" s="23">
        <v>3093.64</v>
      </c>
      <c r="AC22" s="23">
        <v>100</v>
      </c>
      <c r="AD22" s="23">
        <v>20077</v>
      </c>
      <c r="AE22" s="8">
        <f t="shared" si="8"/>
        <v>22</v>
      </c>
      <c r="AF22" s="23">
        <v>1421.2</v>
      </c>
      <c r="AG22" s="23">
        <v>100</v>
      </c>
      <c r="AH22" s="36">
        <f t="shared" si="9"/>
        <v>96</v>
      </c>
      <c r="AI22" s="21">
        <f t="shared" si="10"/>
        <v>0</v>
      </c>
      <c r="AJ22" s="22">
        <f t="shared" si="11"/>
        <v>96</v>
      </c>
      <c r="AK22" s="27">
        <f t="shared" si="12"/>
        <v>1689.0399999999936</v>
      </c>
      <c r="AL22" s="40">
        <f t="shared" si="13"/>
        <v>1785.0399999999936</v>
      </c>
    </row>
    <row r="23" spans="1:38" ht="25.5" customHeight="1">
      <c r="A23" s="39" t="s">
        <v>285</v>
      </c>
      <c r="B23" s="23">
        <v>4677.09</v>
      </c>
      <c r="C23" s="23">
        <v>320.89999999999998</v>
      </c>
      <c r="D23" s="23">
        <v>3228.15</v>
      </c>
      <c r="E23" s="23">
        <v>495.66</v>
      </c>
      <c r="F23" s="23">
        <v>0.86799999999999999</v>
      </c>
      <c r="G23" s="23">
        <v>0.39700000000000002</v>
      </c>
      <c r="H23" s="23">
        <v>40</v>
      </c>
      <c r="I23" s="5">
        <f t="shared" si="0"/>
        <v>0</v>
      </c>
      <c r="J23" s="6">
        <f t="shared" si="1"/>
        <v>623.99999999999636</v>
      </c>
      <c r="K23" s="23">
        <v>196575.58</v>
      </c>
      <c r="L23" s="23">
        <v>0.99199999999999999</v>
      </c>
      <c r="M23" s="7">
        <f t="shared" si="2"/>
        <v>71.940000000002328</v>
      </c>
      <c r="N23" s="23">
        <v>95</v>
      </c>
      <c r="O23" s="8">
        <f t="shared" si="3"/>
        <v>0</v>
      </c>
      <c r="P23" s="23">
        <v>623.70000000000005</v>
      </c>
      <c r="Q23" s="23">
        <v>64</v>
      </c>
      <c r="R23" s="23">
        <v>132274.22</v>
      </c>
      <c r="S23" s="23">
        <v>0.878</v>
      </c>
      <c r="T23" s="25">
        <f t="shared" si="4"/>
        <v>65.619999999995343</v>
      </c>
      <c r="U23" s="26">
        <f t="shared" si="5"/>
        <v>761.55999999999403</v>
      </c>
      <c r="V23" s="35"/>
      <c r="W23" s="35"/>
      <c r="X23" s="35"/>
      <c r="Y23" s="11">
        <f t="shared" si="6"/>
        <v>0</v>
      </c>
      <c r="Z23" s="23">
        <v>6819.65</v>
      </c>
      <c r="AA23" s="8">
        <f t="shared" si="7"/>
        <v>0</v>
      </c>
      <c r="AB23" s="23">
        <v>3093.66</v>
      </c>
      <c r="AC23" s="23">
        <v>100</v>
      </c>
      <c r="AD23" s="23">
        <v>20099</v>
      </c>
      <c r="AE23" s="8">
        <f t="shared" si="8"/>
        <v>1</v>
      </c>
      <c r="AF23" s="23">
        <v>1422.6</v>
      </c>
      <c r="AG23" s="23">
        <v>96</v>
      </c>
      <c r="AH23" s="36">
        <f t="shared" si="9"/>
        <v>0</v>
      </c>
      <c r="AI23" s="21">
        <f t="shared" si="10"/>
        <v>0</v>
      </c>
      <c r="AJ23" s="22">
        <f t="shared" si="11"/>
        <v>0</v>
      </c>
      <c r="AK23" s="27">
        <f t="shared" si="12"/>
        <v>762.55999999999403</v>
      </c>
      <c r="AL23" s="40">
        <f t="shared" si="13"/>
        <v>762.55999999999403</v>
      </c>
    </row>
    <row r="24" spans="1:38" ht="25.5" customHeight="1">
      <c r="A24" s="39" t="s">
        <v>286</v>
      </c>
      <c r="B24" s="23">
        <v>4692.3599999999997</v>
      </c>
      <c r="C24" s="23">
        <v>152.69999999999999</v>
      </c>
      <c r="D24" s="23">
        <v>3243.75</v>
      </c>
      <c r="E24" s="23">
        <v>495.66</v>
      </c>
      <c r="F24" s="23">
        <v>0.87</v>
      </c>
      <c r="G24" s="23">
        <v>0.39700000000000002</v>
      </c>
      <c r="H24" s="23">
        <v>40</v>
      </c>
      <c r="I24" s="5">
        <f t="shared" si="0"/>
        <v>0</v>
      </c>
      <c r="J24" s="6">
        <f t="shared" si="1"/>
        <v>615.59999999999491</v>
      </c>
      <c r="K24" s="23">
        <v>196647.52</v>
      </c>
      <c r="L24" s="23">
        <v>0.99199999999999999</v>
      </c>
      <c r="M24" s="7">
        <f t="shared" si="2"/>
        <v>226.30999999999767</v>
      </c>
      <c r="N24" s="23">
        <v>95</v>
      </c>
      <c r="O24" s="8">
        <f t="shared" si="3"/>
        <v>1</v>
      </c>
      <c r="P24" s="23">
        <v>623.70000000000005</v>
      </c>
      <c r="Q24" s="23">
        <v>63</v>
      </c>
      <c r="R24" s="23">
        <v>132339.84</v>
      </c>
      <c r="S24" s="23">
        <v>0.877</v>
      </c>
      <c r="T24" s="25">
        <f t="shared" si="4"/>
        <v>75.739999999990687</v>
      </c>
      <c r="U24" s="26">
        <f t="shared" si="5"/>
        <v>918.64999999998327</v>
      </c>
      <c r="V24" s="35"/>
      <c r="W24" s="35"/>
      <c r="X24" s="35"/>
      <c r="Y24" s="11">
        <f t="shared" si="6"/>
        <v>0</v>
      </c>
      <c r="Z24" s="23">
        <v>6819.65</v>
      </c>
      <c r="AA24" s="8">
        <f t="shared" si="7"/>
        <v>0</v>
      </c>
      <c r="AB24" s="23">
        <v>3093.69</v>
      </c>
      <c r="AC24" s="23">
        <v>100</v>
      </c>
      <c r="AD24" s="23">
        <v>20100</v>
      </c>
      <c r="AE24" s="8">
        <f t="shared" si="8"/>
        <v>0</v>
      </c>
      <c r="AF24" s="23">
        <v>1422.8</v>
      </c>
      <c r="AG24" s="23">
        <v>96</v>
      </c>
      <c r="AH24" s="36">
        <f t="shared" si="9"/>
        <v>0</v>
      </c>
      <c r="AI24" s="21">
        <f t="shared" si="10"/>
        <v>0</v>
      </c>
      <c r="AJ24" s="22">
        <f t="shared" si="11"/>
        <v>0</v>
      </c>
      <c r="AK24" s="27">
        <f t="shared" si="12"/>
        <v>918.64999999998327</v>
      </c>
      <c r="AL24" s="40">
        <f t="shared" si="13"/>
        <v>918.64999999998327</v>
      </c>
    </row>
    <row r="25" spans="1:38" ht="25.5" customHeight="1">
      <c r="A25" s="39" t="s">
        <v>287</v>
      </c>
      <c r="B25" s="23">
        <v>4712.3599999999997</v>
      </c>
      <c r="C25" s="23">
        <v>200</v>
      </c>
      <c r="D25" s="23">
        <v>3259.14</v>
      </c>
      <c r="E25" s="23">
        <v>495.66</v>
      </c>
      <c r="F25" s="23">
        <v>0.872</v>
      </c>
      <c r="G25" s="23">
        <v>0.39700000000000002</v>
      </c>
      <c r="H25" s="23">
        <v>40</v>
      </c>
      <c r="I25" s="5">
        <f t="shared" si="0"/>
        <v>0</v>
      </c>
      <c r="J25" s="6">
        <f t="shared" si="1"/>
        <v>643.19999999999709</v>
      </c>
      <c r="K25" s="23">
        <v>196873.83</v>
      </c>
      <c r="L25" s="23">
        <v>0.99199999999999999</v>
      </c>
      <c r="M25" s="7">
        <f t="shared" si="2"/>
        <v>137.44000000000233</v>
      </c>
      <c r="N25" s="23">
        <v>96</v>
      </c>
      <c r="O25" s="8">
        <f t="shared" si="3"/>
        <v>0</v>
      </c>
      <c r="P25" s="23">
        <v>624</v>
      </c>
      <c r="Q25" s="23">
        <v>63</v>
      </c>
      <c r="R25" s="23">
        <v>132415.57999999999</v>
      </c>
      <c r="S25" s="23">
        <v>0.875</v>
      </c>
      <c r="T25" s="25">
        <f t="shared" si="4"/>
        <v>62.720000000001164</v>
      </c>
      <c r="U25" s="26">
        <f t="shared" si="5"/>
        <v>843.36000000000058</v>
      </c>
      <c r="V25" s="35"/>
      <c r="W25" s="35"/>
      <c r="X25" s="35"/>
      <c r="Y25" s="11">
        <f t="shared" si="6"/>
        <v>0</v>
      </c>
      <c r="Z25" s="23">
        <v>6819.65</v>
      </c>
      <c r="AA25" s="8">
        <f t="shared" si="7"/>
        <v>0</v>
      </c>
      <c r="AB25" s="23">
        <v>3093.69</v>
      </c>
      <c r="AC25" s="23">
        <v>100</v>
      </c>
      <c r="AD25" s="23">
        <v>20100</v>
      </c>
      <c r="AE25" s="8">
        <f t="shared" si="8"/>
        <v>1</v>
      </c>
      <c r="AF25" s="23">
        <v>1423.5</v>
      </c>
      <c r="AG25" s="23">
        <v>95</v>
      </c>
      <c r="AH25" s="36">
        <f t="shared" si="9"/>
        <v>0</v>
      </c>
      <c r="AI25" s="21">
        <f t="shared" si="10"/>
        <v>0</v>
      </c>
      <c r="AJ25" s="22">
        <f t="shared" si="11"/>
        <v>0</v>
      </c>
      <c r="AK25" s="27">
        <f t="shared" si="12"/>
        <v>844.36000000000058</v>
      </c>
      <c r="AL25" s="40">
        <f t="shared" si="13"/>
        <v>844.36000000000058</v>
      </c>
    </row>
    <row r="26" spans="1:38" ht="25.5" customHeight="1">
      <c r="A26" s="39" t="s">
        <v>288</v>
      </c>
      <c r="B26" s="23">
        <v>4732.0600000000004</v>
      </c>
      <c r="C26" s="23">
        <v>197</v>
      </c>
      <c r="D26" s="23">
        <v>3275.22</v>
      </c>
      <c r="E26" s="23">
        <v>495.66</v>
      </c>
      <c r="F26" s="23">
        <v>0.875</v>
      </c>
      <c r="G26" s="23">
        <v>0.39700000000000002</v>
      </c>
      <c r="H26" s="23">
        <v>40</v>
      </c>
      <c r="I26" s="5">
        <f t="shared" si="0"/>
        <v>0</v>
      </c>
      <c r="J26" s="6">
        <f t="shared" si="1"/>
        <v>678.80000000001019</v>
      </c>
      <c r="K26" s="23">
        <v>197011.27</v>
      </c>
      <c r="L26" s="23">
        <v>0.99199999999999999</v>
      </c>
      <c r="M26" s="7">
        <f t="shared" si="2"/>
        <v>135.24000000001979</v>
      </c>
      <c r="N26" s="23">
        <v>96</v>
      </c>
      <c r="O26" s="8">
        <f t="shared" si="3"/>
        <v>0</v>
      </c>
      <c r="P26" s="23">
        <v>624.1</v>
      </c>
      <c r="Q26" s="23">
        <v>63</v>
      </c>
      <c r="R26" s="23">
        <v>132478.29999999999</v>
      </c>
      <c r="S26" s="23">
        <v>0.874</v>
      </c>
      <c r="T26" s="25">
        <f t="shared" si="4"/>
        <v>61.75</v>
      </c>
      <c r="U26" s="26">
        <f t="shared" si="5"/>
        <v>875.79000000002998</v>
      </c>
      <c r="V26" s="35"/>
      <c r="W26" s="35"/>
      <c r="X26" s="35"/>
      <c r="Y26" s="11">
        <f t="shared" si="6"/>
        <v>0</v>
      </c>
      <c r="Z26" s="23">
        <v>6819.65</v>
      </c>
      <c r="AA26" s="8">
        <f t="shared" si="7"/>
        <v>0</v>
      </c>
      <c r="AB26" s="23">
        <v>3093.72</v>
      </c>
      <c r="AC26" s="23">
        <v>100</v>
      </c>
      <c r="AD26" s="23">
        <v>20101</v>
      </c>
      <c r="AE26" s="8">
        <f t="shared" si="8"/>
        <v>5</v>
      </c>
      <c r="AF26" s="23">
        <v>1422.9</v>
      </c>
      <c r="AG26" s="23">
        <v>93</v>
      </c>
      <c r="AH26" s="36">
        <f t="shared" si="9"/>
        <v>0</v>
      </c>
      <c r="AI26" s="21">
        <f t="shared" si="10"/>
        <v>0</v>
      </c>
      <c r="AJ26" s="22">
        <f t="shared" si="11"/>
        <v>0</v>
      </c>
      <c r="AK26" s="27">
        <f t="shared" si="12"/>
        <v>880.79000000002998</v>
      </c>
      <c r="AL26" s="40">
        <f t="shared" si="13"/>
        <v>880.79000000002998</v>
      </c>
    </row>
    <row r="27" spans="1:38" ht="25.5" customHeight="1">
      <c r="A27" s="39" t="s">
        <v>289</v>
      </c>
      <c r="B27" s="23">
        <v>4751.13</v>
      </c>
      <c r="C27" s="23">
        <v>190.7</v>
      </c>
      <c r="D27" s="23">
        <v>3292.19</v>
      </c>
      <c r="E27" s="23">
        <v>495.66</v>
      </c>
      <c r="F27" s="23">
        <v>0.877</v>
      </c>
      <c r="G27" s="23">
        <v>0.39700000000000002</v>
      </c>
      <c r="H27" s="23">
        <v>40</v>
      </c>
      <c r="I27" s="5">
        <f t="shared" si="0"/>
        <v>0</v>
      </c>
      <c r="J27" s="6">
        <f t="shared" si="1"/>
        <v>535.20000000000437</v>
      </c>
      <c r="K27" s="23">
        <v>197146.51</v>
      </c>
      <c r="L27" s="23">
        <v>0.99199999999999999</v>
      </c>
      <c r="M27" s="7">
        <f t="shared" si="2"/>
        <v>70.910000000003492</v>
      </c>
      <c r="N27" s="23">
        <v>96</v>
      </c>
      <c r="O27" s="8">
        <f t="shared" si="3"/>
        <v>0</v>
      </c>
      <c r="P27" s="23">
        <v>624.20000000000005</v>
      </c>
      <c r="Q27" s="23">
        <v>63</v>
      </c>
      <c r="R27" s="23">
        <v>132540.04999999999</v>
      </c>
      <c r="S27" s="23">
        <v>0.874</v>
      </c>
      <c r="T27" s="25">
        <f t="shared" si="4"/>
        <v>55.400000000023283</v>
      </c>
      <c r="U27" s="26">
        <f t="shared" si="5"/>
        <v>661.51000000003114</v>
      </c>
      <c r="V27" s="35">
        <v>24</v>
      </c>
      <c r="W27" s="35">
        <v>20</v>
      </c>
      <c r="X27" s="35">
        <v>23</v>
      </c>
      <c r="Y27" s="11">
        <f t="shared" si="6"/>
        <v>67</v>
      </c>
      <c r="Z27" s="23">
        <v>6819.65</v>
      </c>
      <c r="AA27" s="8">
        <f t="shared" si="7"/>
        <v>0</v>
      </c>
      <c r="AB27" s="23">
        <v>3093.75</v>
      </c>
      <c r="AC27" s="23">
        <v>100</v>
      </c>
      <c r="AD27" s="23">
        <v>20106</v>
      </c>
      <c r="AE27" s="8">
        <f t="shared" si="8"/>
        <v>0</v>
      </c>
      <c r="AF27" s="23">
        <v>1423.3</v>
      </c>
      <c r="AG27" s="23">
        <v>94</v>
      </c>
      <c r="AH27" s="36">
        <f t="shared" si="9"/>
        <v>67</v>
      </c>
      <c r="AI27" s="21">
        <f t="shared" si="10"/>
        <v>0</v>
      </c>
      <c r="AJ27" s="22">
        <f t="shared" si="11"/>
        <v>67</v>
      </c>
      <c r="AK27" s="27">
        <f t="shared" si="12"/>
        <v>661.51000000003114</v>
      </c>
      <c r="AL27" s="40">
        <f t="shared" si="13"/>
        <v>728.51000000003114</v>
      </c>
    </row>
    <row r="28" spans="1:38" ht="25.5" customHeight="1">
      <c r="A28" s="39" t="s">
        <v>290</v>
      </c>
      <c r="B28" s="23">
        <v>4766.5600000000004</v>
      </c>
      <c r="C28" s="23">
        <v>154.30000000000001</v>
      </c>
      <c r="D28" s="23">
        <v>3305.57</v>
      </c>
      <c r="E28" s="23">
        <v>495.66</v>
      </c>
      <c r="F28" s="23">
        <v>0.877</v>
      </c>
      <c r="G28" s="23">
        <v>0.39700000000000002</v>
      </c>
      <c r="H28" s="23">
        <v>40</v>
      </c>
      <c r="I28" s="5">
        <f t="shared" si="0"/>
        <v>0</v>
      </c>
      <c r="J28" s="6">
        <f t="shared" si="1"/>
        <v>704.79999999999563</v>
      </c>
      <c r="K28" s="23">
        <v>197217.42</v>
      </c>
      <c r="L28" s="23">
        <v>0.99199999999999999</v>
      </c>
      <c r="M28" s="7">
        <f t="shared" si="2"/>
        <v>27.599999999976717</v>
      </c>
      <c r="N28" s="23">
        <v>96</v>
      </c>
      <c r="O28" s="8">
        <f t="shared" si="3"/>
        <v>0</v>
      </c>
      <c r="P28" s="23">
        <v>624.5</v>
      </c>
      <c r="Q28" s="23">
        <v>64</v>
      </c>
      <c r="R28" s="23">
        <v>132595.45000000001</v>
      </c>
      <c r="S28" s="23">
        <v>0.875</v>
      </c>
      <c r="T28" s="25">
        <f t="shared" si="4"/>
        <v>95.35999999998603</v>
      </c>
      <c r="U28" s="26">
        <f t="shared" si="5"/>
        <v>827.75999999995838</v>
      </c>
      <c r="V28" s="35"/>
      <c r="W28" s="35"/>
      <c r="X28" s="35"/>
      <c r="Y28" s="11">
        <f t="shared" si="6"/>
        <v>0</v>
      </c>
      <c r="Z28" s="23">
        <v>6819.65</v>
      </c>
      <c r="AA28" s="8">
        <f t="shared" si="7"/>
        <v>0</v>
      </c>
      <c r="AB28" s="23">
        <v>3093.75</v>
      </c>
      <c r="AC28" s="23">
        <v>100</v>
      </c>
      <c r="AD28" s="23">
        <v>20106</v>
      </c>
      <c r="AE28" s="8">
        <f t="shared" si="8"/>
        <v>1</v>
      </c>
      <c r="AF28" s="23">
        <v>1423.3</v>
      </c>
      <c r="AG28" s="23">
        <v>94</v>
      </c>
      <c r="AH28" s="36">
        <f t="shared" si="9"/>
        <v>0</v>
      </c>
      <c r="AI28" s="21">
        <f t="shared" si="10"/>
        <v>0</v>
      </c>
      <c r="AJ28" s="22">
        <f t="shared" si="11"/>
        <v>0</v>
      </c>
      <c r="AK28" s="27">
        <f t="shared" si="12"/>
        <v>828.75999999995838</v>
      </c>
      <c r="AL28" s="40">
        <f t="shared" si="13"/>
        <v>828.75999999995838</v>
      </c>
    </row>
    <row r="29" spans="1:38" ht="25.5" customHeight="1">
      <c r="A29" s="39" t="s">
        <v>291</v>
      </c>
      <c r="B29" s="23">
        <v>4789.4799999999996</v>
      </c>
      <c r="C29" s="23">
        <v>229.2</v>
      </c>
      <c r="D29" s="23">
        <v>3323.19</v>
      </c>
      <c r="E29" s="23">
        <v>495.66</v>
      </c>
      <c r="F29" s="23">
        <v>0.875</v>
      </c>
      <c r="G29" s="23">
        <v>0.39700000000000002</v>
      </c>
      <c r="H29" s="23">
        <v>40</v>
      </c>
      <c r="I29" s="5"/>
      <c r="J29" s="6"/>
      <c r="K29" s="23">
        <v>197245.02</v>
      </c>
      <c r="L29" s="23">
        <v>0.99199999999999999</v>
      </c>
      <c r="M29" s="7"/>
      <c r="N29" s="23">
        <v>96</v>
      </c>
      <c r="O29" s="8"/>
      <c r="P29" s="23">
        <v>624.5</v>
      </c>
      <c r="Q29" s="23">
        <v>64</v>
      </c>
      <c r="R29" s="23">
        <v>132690.81</v>
      </c>
      <c r="S29" s="23">
        <v>0.877</v>
      </c>
      <c r="T29" s="25"/>
      <c r="U29" s="10"/>
      <c r="V29" s="35"/>
      <c r="W29" s="35"/>
      <c r="X29" s="35"/>
      <c r="Y29" s="11">
        <f t="shared" si="6"/>
        <v>0</v>
      </c>
      <c r="Z29" s="23">
        <v>6819.65</v>
      </c>
      <c r="AA29" s="8"/>
      <c r="AB29" s="23">
        <v>3093.75</v>
      </c>
      <c r="AC29" s="23">
        <v>98</v>
      </c>
      <c r="AD29" s="23">
        <v>20107</v>
      </c>
      <c r="AE29" s="8"/>
      <c r="AF29" s="23">
        <v>1423.5</v>
      </c>
      <c r="AG29" s="23">
        <v>91</v>
      </c>
      <c r="AH29" s="36">
        <f t="shared" si="9"/>
        <v>0</v>
      </c>
      <c r="AI29" s="21">
        <f t="shared" si="10"/>
        <v>0</v>
      </c>
      <c r="AJ29" s="22"/>
      <c r="AK29" s="17"/>
      <c r="AL29" s="30"/>
    </row>
    <row r="30" spans="1:38" ht="25.5" customHeight="1">
      <c r="A30" s="41"/>
      <c r="B30" s="42"/>
      <c r="C30" s="42"/>
      <c r="D30" s="42"/>
      <c r="E30" s="42"/>
      <c r="F30" s="42"/>
      <c r="G30" s="42"/>
      <c r="H30" s="42"/>
      <c r="I30" s="5"/>
      <c r="J30" s="43"/>
      <c r="K30" s="42"/>
      <c r="L30" s="42"/>
      <c r="M30" s="7"/>
      <c r="N30" s="42"/>
      <c r="O30" s="8"/>
      <c r="P30" s="42"/>
      <c r="Q30" s="42"/>
      <c r="R30" s="42"/>
      <c r="S30" s="42"/>
      <c r="T30" s="44"/>
      <c r="U30" s="45"/>
      <c r="V30" s="32"/>
      <c r="W30" s="32"/>
      <c r="X30" s="32"/>
      <c r="Y30" s="11"/>
      <c r="Z30" s="42"/>
      <c r="AA30" s="8"/>
      <c r="AB30" s="42"/>
      <c r="AC30" s="42"/>
      <c r="AD30" s="42"/>
      <c r="AE30" s="8"/>
      <c r="AF30" s="42"/>
      <c r="AG30" s="42"/>
      <c r="AH30" s="36"/>
      <c r="AI30" s="47"/>
      <c r="AJ30" s="48"/>
      <c r="AK30" s="49"/>
      <c r="AL30" s="50"/>
    </row>
    <row r="31" spans="1:38">
      <c r="Y31" s="11"/>
    </row>
    <row r="32" spans="1:38">
      <c r="Y32" s="11"/>
    </row>
    <row r="33" spans="25:25">
      <c r="Y33" s="11"/>
    </row>
    <row r="34" spans="25:25">
      <c r="Y34" s="11"/>
    </row>
    <row r="35" spans="25:25">
      <c r="Y35" s="11"/>
    </row>
    <row r="36" spans="25:25">
      <c r="Y36" s="11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36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5.85546875" customWidth="1"/>
  </cols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39" t="s">
        <v>292</v>
      </c>
      <c r="B3" s="23">
        <v>4789.4799999999996</v>
      </c>
      <c r="C3" s="23">
        <v>229.2</v>
      </c>
      <c r="D3" s="23">
        <v>3323.19</v>
      </c>
      <c r="E3" s="23">
        <v>495.66</v>
      </c>
      <c r="F3" s="23">
        <v>0.875</v>
      </c>
      <c r="G3" s="23">
        <v>0.39700000000000002</v>
      </c>
      <c r="H3" s="23">
        <v>40</v>
      </c>
      <c r="I3" s="5">
        <f t="shared" ref="I3:I25" si="0">(E4-E3)*40</f>
        <v>0</v>
      </c>
      <c r="J3" s="6">
        <f t="shared" ref="J3:J8" si="1">(D4-D3)*40</f>
        <v>378.40000000000146</v>
      </c>
      <c r="K3" s="23">
        <v>197245.02</v>
      </c>
      <c r="L3" s="23">
        <v>0.99199999999999999</v>
      </c>
      <c r="M3" s="7">
        <f t="shared" ref="M3:M25" si="2">(K4-K3)</f>
        <v>8.9100000000034925</v>
      </c>
      <c r="N3" s="23">
        <v>96</v>
      </c>
      <c r="O3" s="8">
        <f t="shared" ref="O3:O25" si="3">(N4-N3)</f>
        <v>0</v>
      </c>
      <c r="P3" s="23">
        <v>624.5</v>
      </c>
      <c r="Q3" s="23">
        <v>64</v>
      </c>
      <c r="R3" s="23">
        <v>132690.81</v>
      </c>
      <c r="S3" s="23">
        <v>0.877</v>
      </c>
      <c r="T3" s="25">
        <f t="shared" ref="T3:T25" si="4">(R4-R3)</f>
        <v>44.019999999989523</v>
      </c>
      <c r="U3" s="26">
        <f t="shared" ref="U3:U25" si="5">(J3+M3+O3+T3)</f>
        <v>431.32999999999447</v>
      </c>
      <c r="V3" s="35">
        <v>0</v>
      </c>
      <c r="W3" s="35">
        <v>0</v>
      </c>
      <c r="X3" s="35">
        <v>0</v>
      </c>
      <c r="Y3" s="11">
        <f t="shared" ref="Y3:Y26" si="6">SUM(V3:X3)</f>
        <v>0</v>
      </c>
      <c r="Z3" s="23">
        <v>6819.65</v>
      </c>
      <c r="AA3" s="8">
        <f t="shared" ref="AA3:AA25" si="7">(Z4-Z3)</f>
        <v>0</v>
      </c>
      <c r="AB3" s="23">
        <v>3093.8</v>
      </c>
      <c r="AC3" s="23">
        <v>98</v>
      </c>
      <c r="AD3" s="23">
        <v>20107</v>
      </c>
      <c r="AE3" s="8">
        <f t="shared" ref="AE3:AE25" si="8">(AD4-AD3)</f>
        <v>0</v>
      </c>
      <c r="AF3" s="23">
        <v>1423.5</v>
      </c>
      <c r="AG3" s="23">
        <v>91</v>
      </c>
      <c r="AH3" s="36">
        <f t="shared" ref="AH3:AH26" si="9">Y3</f>
        <v>0</v>
      </c>
      <c r="AI3" s="21">
        <f t="shared" ref="AI3:AI26" si="10">I3</f>
        <v>0</v>
      </c>
      <c r="AJ3" s="22">
        <f t="shared" ref="AJ3:AJ25" si="11">(AH3-AI3)</f>
        <v>0</v>
      </c>
      <c r="AK3" s="27">
        <f t="shared" ref="AK3:AK25" si="12">(U3+AA3+AE3)</f>
        <v>431.32999999999447</v>
      </c>
      <c r="AL3" s="40">
        <f t="shared" ref="AL3:AL25" si="13">(AJ3+AK3)</f>
        <v>431.32999999999447</v>
      </c>
    </row>
    <row r="4" spans="1:38" ht="25.5" customHeight="1">
      <c r="A4" s="39" t="s">
        <v>293</v>
      </c>
      <c r="B4" s="23">
        <v>4801.8599999999997</v>
      </c>
      <c r="C4" s="23">
        <v>123.2</v>
      </c>
      <c r="D4" s="23">
        <v>3332.65</v>
      </c>
      <c r="E4" s="23">
        <v>495.66</v>
      </c>
      <c r="F4" s="23">
        <v>0.81799999999999995</v>
      </c>
      <c r="G4" s="23">
        <v>0</v>
      </c>
      <c r="H4" s="23">
        <v>40</v>
      </c>
      <c r="I4" s="5">
        <f t="shared" si="0"/>
        <v>0</v>
      </c>
      <c r="J4" s="6">
        <f t="shared" si="1"/>
        <v>279.20000000000073</v>
      </c>
      <c r="K4" s="23">
        <v>197253.93</v>
      </c>
      <c r="L4" s="23">
        <v>0.99199999999999999</v>
      </c>
      <c r="M4" s="7">
        <f t="shared" si="2"/>
        <v>2</v>
      </c>
      <c r="N4" s="23">
        <v>96</v>
      </c>
      <c r="O4" s="8">
        <f t="shared" si="3"/>
        <v>0</v>
      </c>
      <c r="P4" s="23">
        <v>624.6</v>
      </c>
      <c r="Q4" s="23">
        <v>65</v>
      </c>
      <c r="R4" s="23">
        <v>132734.82999999999</v>
      </c>
      <c r="S4" s="23">
        <v>0.877</v>
      </c>
      <c r="T4" s="25">
        <f t="shared" si="4"/>
        <v>46</v>
      </c>
      <c r="U4" s="26">
        <f t="shared" si="5"/>
        <v>327.20000000000073</v>
      </c>
      <c r="V4" s="35">
        <v>0</v>
      </c>
      <c r="W4" s="35">
        <v>0</v>
      </c>
      <c r="X4" s="35">
        <v>0</v>
      </c>
      <c r="Y4" s="11">
        <f t="shared" si="6"/>
        <v>0</v>
      </c>
      <c r="Z4" s="23">
        <v>6819.65</v>
      </c>
      <c r="AA4" s="8">
        <f t="shared" si="7"/>
        <v>0</v>
      </c>
      <c r="AB4" s="23">
        <v>3093.82</v>
      </c>
      <c r="AC4" s="23">
        <v>98</v>
      </c>
      <c r="AD4" s="23">
        <v>20107</v>
      </c>
      <c r="AE4" s="8">
        <f t="shared" si="8"/>
        <v>0</v>
      </c>
      <c r="AF4" s="23">
        <v>1423.5</v>
      </c>
      <c r="AG4" s="23">
        <v>91</v>
      </c>
      <c r="AH4" s="36">
        <f t="shared" si="9"/>
        <v>0</v>
      </c>
      <c r="AI4" s="21">
        <f t="shared" si="10"/>
        <v>0</v>
      </c>
      <c r="AJ4" s="22">
        <f t="shared" si="11"/>
        <v>0</v>
      </c>
      <c r="AK4" s="27">
        <f t="shared" si="12"/>
        <v>327.20000000000073</v>
      </c>
      <c r="AL4" s="40">
        <f t="shared" si="13"/>
        <v>327.20000000000073</v>
      </c>
    </row>
    <row r="5" spans="1:38" ht="25.5" customHeight="1">
      <c r="A5" s="39" t="s">
        <v>294</v>
      </c>
      <c r="B5" s="23">
        <v>4810.2700000000004</v>
      </c>
      <c r="C5" s="23">
        <v>84.1</v>
      </c>
      <c r="D5" s="23">
        <v>3339.63</v>
      </c>
      <c r="E5" s="23">
        <v>495.66</v>
      </c>
      <c r="F5" s="23">
        <v>0.81799999999999995</v>
      </c>
      <c r="G5" s="23">
        <v>0</v>
      </c>
      <c r="H5" s="23">
        <v>40</v>
      </c>
      <c r="I5" s="5">
        <f t="shared" si="0"/>
        <v>0</v>
      </c>
      <c r="J5" s="6">
        <f t="shared" si="1"/>
        <v>647.19999999999345</v>
      </c>
      <c r="K5" s="23">
        <v>197255.93</v>
      </c>
      <c r="L5" s="23">
        <v>0.99199999999999999</v>
      </c>
      <c r="M5" s="7">
        <f t="shared" si="2"/>
        <v>33.190000000002328</v>
      </c>
      <c r="N5" s="23">
        <v>96</v>
      </c>
      <c r="O5" s="8">
        <f t="shared" si="3"/>
        <v>0</v>
      </c>
      <c r="P5" s="23">
        <v>624.6</v>
      </c>
      <c r="Q5" s="23">
        <v>65</v>
      </c>
      <c r="R5" s="23">
        <v>132780.82999999999</v>
      </c>
      <c r="S5" s="23">
        <v>0.877</v>
      </c>
      <c r="T5" s="25">
        <f t="shared" si="4"/>
        <v>0</v>
      </c>
      <c r="U5" s="26">
        <f t="shared" si="5"/>
        <v>680.38999999999578</v>
      </c>
      <c r="V5" s="35">
        <v>0</v>
      </c>
      <c r="W5" s="35">
        <v>0</v>
      </c>
      <c r="X5" s="35">
        <v>0</v>
      </c>
      <c r="Y5" s="11">
        <f t="shared" si="6"/>
        <v>0</v>
      </c>
      <c r="Z5" s="23">
        <v>6819.65</v>
      </c>
      <c r="AA5" s="8">
        <f t="shared" si="7"/>
        <v>0</v>
      </c>
      <c r="AB5" s="23">
        <v>3093.84</v>
      </c>
      <c r="AC5" s="23">
        <v>98</v>
      </c>
      <c r="AD5" s="23">
        <v>20107</v>
      </c>
      <c r="AE5" s="8">
        <f t="shared" si="8"/>
        <v>8</v>
      </c>
      <c r="AF5" s="23">
        <v>1423.5</v>
      </c>
      <c r="AG5" s="23">
        <v>91</v>
      </c>
      <c r="AH5" s="36">
        <f t="shared" si="9"/>
        <v>0</v>
      </c>
      <c r="AI5" s="21">
        <f t="shared" si="10"/>
        <v>0</v>
      </c>
      <c r="AJ5" s="22">
        <f t="shared" si="11"/>
        <v>0</v>
      </c>
      <c r="AK5" s="27">
        <f t="shared" si="12"/>
        <v>688.38999999999578</v>
      </c>
      <c r="AL5" s="40">
        <f t="shared" si="13"/>
        <v>688.38999999999578</v>
      </c>
    </row>
    <row r="6" spans="1:38" ht="25.5" customHeight="1">
      <c r="A6" s="39" t="s">
        <v>295</v>
      </c>
      <c r="B6" s="23">
        <v>4836.21</v>
      </c>
      <c r="C6" s="23">
        <v>259.39999999999998</v>
      </c>
      <c r="D6" s="23">
        <v>3355.81</v>
      </c>
      <c r="E6" s="23">
        <v>495.66</v>
      </c>
      <c r="F6" s="23">
        <v>0.77300000000000002</v>
      </c>
      <c r="G6" s="23">
        <v>0</v>
      </c>
      <c r="H6" s="23">
        <v>40</v>
      </c>
      <c r="I6" s="5">
        <f t="shared" si="0"/>
        <v>0</v>
      </c>
      <c r="J6" s="6">
        <f t="shared" si="1"/>
        <v>474.79999999999563</v>
      </c>
      <c r="K6" s="23">
        <v>197289.12</v>
      </c>
      <c r="L6" s="23">
        <v>0.99199999999999999</v>
      </c>
      <c r="M6" s="7">
        <f t="shared" si="2"/>
        <v>31.630000000004657</v>
      </c>
      <c r="N6" s="23">
        <v>96</v>
      </c>
      <c r="O6" s="8">
        <f t="shared" si="3"/>
        <v>0</v>
      </c>
      <c r="P6" s="23">
        <v>624.6</v>
      </c>
      <c r="Q6" s="23">
        <v>65</v>
      </c>
      <c r="R6" s="23">
        <v>132780.82999999999</v>
      </c>
      <c r="S6" s="23">
        <v>0.877</v>
      </c>
      <c r="T6" s="25">
        <f t="shared" si="4"/>
        <v>93.100000000005821</v>
      </c>
      <c r="U6" s="26">
        <f t="shared" si="5"/>
        <v>599.53000000000611</v>
      </c>
      <c r="V6" s="35">
        <v>0</v>
      </c>
      <c r="W6" s="35">
        <v>0</v>
      </c>
      <c r="X6" s="35">
        <v>0</v>
      </c>
      <c r="Y6" s="11">
        <f t="shared" si="6"/>
        <v>0</v>
      </c>
      <c r="Z6" s="23">
        <v>6819.65</v>
      </c>
      <c r="AA6" s="8">
        <f t="shared" si="7"/>
        <v>0</v>
      </c>
      <c r="AB6" s="23">
        <v>3093.87</v>
      </c>
      <c r="AC6" s="23">
        <v>98</v>
      </c>
      <c r="AD6" s="23">
        <v>20115</v>
      </c>
      <c r="AE6" s="8">
        <f t="shared" si="8"/>
        <v>1</v>
      </c>
      <c r="AF6" s="23">
        <v>1425.1</v>
      </c>
      <c r="AG6" s="23">
        <v>87</v>
      </c>
      <c r="AH6" s="36">
        <f t="shared" si="9"/>
        <v>0</v>
      </c>
      <c r="AI6" s="21">
        <f t="shared" si="10"/>
        <v>0</v>
      </c>
      <c r="AJ6" s="22">
        <f t="shared" si="11"/>
        <v>0</v>
      </c>
      <c r="AK6" s="27">
        <f t="shared" si="12"/>
        <v>600.53000000000611</v>
      </c>
      <c r="AL6" s="40">
        <f t="shared" si="13"/>
        <v>600.53000000000611</v>
      </c>
    </row>
    <row r="7" spans="1:38" ht="25.5" customHeight="1">
      <c r="A7" s="39" t="s">
        <v>296</v>
      </c>
      <c r="B7" s="23">
        <v>4852.0600000000004</v>
      </c>
      <c r="C7" s="23">
        <v>158.5</v>
      </c>
      <c r="D7" s="23">
        <v>3367.68</v>
      </c>
      <c r="E7" s="23">
        <v>495.66</v>
      </c>
      <c r="F7" s="23">
        <v>0.77600000000000002</v>
      </c>
      <c r="G7" s="23">
        <v>0</v>
      </c>
      <c r="H7" s="23">
        <v>40</v>
      </c>
      <c r="I7" s="5">
        <f t="shared" si="0"/>
        <v>0</v>
      </c>
      <c r="J7" s="6">
        <f t="shared" si="1"/>
        <v>362.80000000000655</v>
      </c>
      <c r="K7" s="23">
        <v>197320.75</v>
      </c>
      <c r="L7" s="23">
        <v>0.99199999999999999</v>
      </c>
      <c r="M7" s="7">
        <f t="shared" si="2"/>
        <v>34.299999999988358</v>
      </c>
      <c r="N7" s="23">
        <v>96</v>
      </c>
      <c r="O7" s="8">
        <f t="shared" si="3"/>
        <v>0</v>
      </c>
      <c r="P7" s="23">
        <v>624.6</v>
      </c>
      <c r="Q7" s="23">
        <v>57</v>
      </c>
      <c r="R7" s="23">
        <v>132873.93</v>
      </c>
      <c r="S7" s="23">
        <v>0.877</v>
      </c>
      <c r="T7" s="25">
        <f t="shared" si="4"/>
        <v>98.950000000011642</v>
      </c>
      <c r="U7" s="26">
        <f t="shared" si="5"/>
        <v>496.05000000000655</v>
      </c>
      <c r="V7" s="35">
        <v>0</v>
      </c>
      <c r="W7" s="35">
        <v>0</v>
      </c>
      <c r="X7" s="35">
        <v>0</v>
      </c>
      <c r="Y7" s="11">
        <f t="shared" si="6"/>
        <v>0</v>
      </c>
      <c r="Z7" s="23">
        <v>6819.65</v>
      </c>
      <c r="AA7" s="8">
        <f t="shared" si="7"/>
        <v>0</v>
      </c>
      <c r="AB7" s="23">
        <v>3093.89</v>
      </c>
      <c r="AC7" s="23">
        <v>97</v>
      </c>
      <c r="AD7" s="23">
        <v>20116</v>
      </c>
      <c r="AE7" s="8">
        <f t="shared" si="8"/>
        <v>1</v>
      </c>
      <c r="AF7" s="23">
        <v>1425.4</v>
      </c>
      <c r="AG7" s="23">
        <v>83</v>
      </c>
      <c r="AH7" s="36">
        <f t="shared" si="9"/>
        <v>0</v>
      </c>
      <c r="AI7" s="21">
        <f t="shared" si="10"/>
        <v>0</v>
      </c>
      <c r="AJ7" s="22">
        <f t="shared" si="11"/>
        <v>0</v>
      </c>
      <c r="AK7" s="27">
        <f t="shared" si="12"/>
        <v>497.05000000000655</v>
      </c>
      <c r="AL7" s="40">
        <f t="shared" si="13"/>
        <v>497.05000000000655</v>
      </c>
    </row>
    <row r="8" spans="1:38" ht="25.5" customHeight="1">
      <c r="A8" s="39" t="s">
        <v>297</v>
      </c>
      <c r="B8" s="35">
        <v>4863.21</v>
      </c>
      <c r="C8" s="35">
        <v>111.5</v>
      </c>
      <c r="D8" s="23">
        <v>3376.75</v>
      </c>
      <c r="E8" s="23">
        <v>495.66</v>
      </c>
      <c r="F8" s="23">
        <v>0.78700000000000003</v>
      </c>
      <c r="G8" s="23">
        <v>0</v>
      </c>
      <c r="H8" s="23">
        <v>40</v>
      </c>
      <c r="I8" s="5">
        <f t="shared" si="0"/>
        <v>0</v>
      </c>
      <c r="J8" s="6">
        <f t="shared" si="1"/>
        <v>701.59999999999854</v>
      </c>
      <c r="K8" s="23">
        <v>197355.05</v>
      </c>
      <c r="L8" s="23">
        <v>0.99199999999999999</v>
      </c>
      <c r="M8" s="7">
        <f t="shared" si="2"/>
        <v>48.050000000017462</v>
      </c>
      <c r="N8" s="23">
        <v>96</v>
      </c>
      <c r="O8" s="8">
        <f t="shared" si="3"/>
        <v>0</v>
      </c>
      <c r="P8" s="23">
        <v>624.70000000000005</v>
      </c>
      <c r="Q8" s="23">
        <v>57</v>
      </c>
      <c r="R8" s="23">
        <v>132972.88</v>
      </c>
      <c r="S8" s="23">
        <v>0.877</v>
      </c>
      <c r="T8" s="25">
        <f t="shared" si="4"/>
        <v>162.67999999999302</v>
      </c>
      <c r="U8" s="26">
        <f t="shared" si="5"/>
        <v>912.33000000000902</v>
      </c>
      <c r="V8" s="35">
        <v>0</v>
      </c>
      <c r="W8" s="35">
        <v>0</v>
      </c>
      <c r="X8" s="35">
        <v>0</v>
      </c>
      <c r="Y8" s="11">
        <f t="shared" si="6"/>
        <v>0</v>
      </c>
      <c r="Z8" s="23">
        <v>6819.65</v>
      </c>
      <c r="AA8" s="8">
        <f t="shared" si="7"/>
        <v>28.410000000000764</v>
      </c>
      <c r="AB8" s="23">
        <v>3093.89</v>
      </c>
      <c r="AC8" s="23">
        <v>97</v>
      </c>
      <c r="AD8" s="23">
        <v>20117</v>
      </c>
      <c r="AE8" s="8">
        <f t="shared" si="8"/>
        <v>9</v>
      </c>
      <c r="AF8" s="23">
        <v>1425.4</v>
      </c>
      <c r="AG8" s="23">
        <v>83</v>
      </c>
      <c r="AH8" s="36">
        <f t="shared" si="9"/>
        <v>0</v>
      </c>
      <c r="AI8" s="21">
        <f t="shared" si="10"/>
        <v>0</v>
      </c>
      <c r="AJ8" s="22">
        <f t="shared" si="11"/>
        <v>0</v>
      </c>
      <c r="AK8" s="27">
        <f t="shared" si="12"/>
        <v>949.74000000000979</v>
      </c>
      <c r="AL8" s="40">
        <f t="shared" si="13"/>
        <v>949.74000000000979</v>
      </c>
    </row>
    <row r="9" spans="1:38" ht="25.5" customHeight="1">
      <c r="A9" s="39" t="s">
        <v>298</v>
      </c>
      <c r="B9" s="35">
        <v>4916.37</v>
      </c>
      <c r="C9" s="35">
        <v>531.5</v>
      </c>
      <c r="D9" s="23">
        <v>3394.29</v>
      </c>
      <c r="E9" s="23">
        <v>495.66</v>
      </c>
      <c r="F9" s="23">
        <v>0.80400000000000005</v>
      </c>
      <c r="G9" s="23">
        <v>0</v>
      </c>
      <c r="H9" s="23">
        <v>40</v>
      </c>
      <c r="I9" s="5">
        <f t="shared" si="0"/>
        <v>0</v>
      </c>
      <c r="J9" s="54">
        <v>396.8</v>
      </c>
      <c r="K9" s="23">
        <v>197403.1</v>
      </c>
      <c r="L9" s="23">
        <v>0.99199999999999999</v>
      </c>
      <c r="M9" s="7">
        <f t="shared" si="2"/>
        <v>17.399999999994179</v>
      </c>
      <c r="N9" s="23">
        <v>96</v>
      </c>
      <c r="O9" s="8">
        <f t="shared" si="3"/>
        <v>0</v>
      </c>
      <c r="P9" s="23">
        <v>625.79999999999995</v>
      </c>
      <c r="Q9" s="23">
        <v>56</v>
      </c>
      <c r="R9" s="23">
        <v>133135.56</v>
      </c>
      <c r="S9" s="23">
        <v>0.877</v>
      </c>
      <c r="T9" s="25">
        <f t="shared" si="4"/>
        <v>28.119999999995343</v>
      </c>
      <c r="U9" s="26">
        <f t="shared" si="5"/>
        <v>442.31999999998953</v>
      </c>
      <c r="V9" s="35">
        <v>0</v>
      </c>
      <c r="W9" s="35">
        <v>0</v>
      </c>
      <c r="X9" s="35">
        <v>0</v>
      </c>
      <c r="Y9" s="11">
        <f t="shared" si="6"/>
        <v>0</v>
      </c>
      <c r="Z9" s="23">
        <v>6848.06</v>
      </c>
      <c r="AA9" s="8">
        <f t="shared" si="7"/>
        <v>0</v>
      </c>
      <c r="AB9" s="23">
        <v>3099.3</v>
      </c>
      <c r="AC9" s="23">
        <v>65</v>
      </c>
      <c r="AD9" s="23">
        <v>20126</v>
      </c>
      <c r="AE9" s="8">
        <f t="shared" si="8"/>
        <v>0</v>
      </c>
      <c r="AF9" s="23">
        <v>1426.6</v>
      </c>
      <c r="AG9" s="23">
        <v>79</v>
      </c>
      <c r="AH9" s="36">
        <f t="shared" si="9"/>
        <v>0</v>
      </c>
      <c r="AI9" s="21">
        <f t="shared" si="10"/>
        <v>0</v>
      </c>
      <c r="AJ9" s="22">
        <f t="shared" si="11"/>
        <v>0</v>
      </c>
      <c r="AK9" s="27">
        <f t="shared" si="12"/>
        <v>442.31999999998953</v>
      </c>
      <c r="AL9" s="40">
        <f t="shared" si="13"/>
        <v>442.31999999998953</v>
      </c>
    </row>
    <row r="10" spans="1:38" ht="25.5" customHeight="1">
      <c r="A10" s="39" t="s">
        <v>299</v>
      </c>
      <c r="B10" s="35">
        <v>4922.74</v>
      </c>
      <c r="C10" s="35">
        <v>642</v>
      </c>
      <c r="D10" s="23">
        <v>3404.21</v>
      </c>
      <c r="E10" s="23">
        <v>495.66</v>
      </c>
      <c r="F10" s="23">
        <v>0.81</v>
      </c>
      <c r="G10" s="23">
        <v>0</v>
      </c>
      <c r="H10" s="23">
        <v>40</v>
      </c>
      <c r="I10" s="5">
        <f t="shared" si="0"/>
        <v>0</v>
      </c>
      <c r="J10" s="6">
        <f t="shared" ref="J10:J25" si="14">(D11-D10)*40</f>
        <v>338.40000000000146</v>
      </c>
      <c r="K10" s="23">
        <v>197420.5</v>
      </c>
      <c r="L10" s="23">
        <v>0.99199999999999999</v>
      </c>
      <c r="M10" s="7">
        <f t="shared" si="2"/>
        <v>13.089999999996508</v>
      </c>
      <c r="N10" s="23">
        <v>96</v>
      </c>
      <c r="O10" s="8">
        <f t="shared" si="3"/>
        <v>0</v>
      </c>
      <c r="P10" s="23">
        <v>625.79999999999995</v>
      </c>
      <c r="Q10" s="23">
        <v>53</v>
      </c>
      <c r="R10" s="23">
        <v>133163.68</v>
      </c>
      <c r="S10" s="23">
        <v>0.877</v>
      </c>
      <c r="T10" s="25">
        <f t="shared" si="4"/>
        <v>41.5</v>
      </c>
      <c r="U10" s="26">
        <f t="shared" si="5"/>
        <v>392.98999999999796</v>
      </c>
      <c r="V10" s="35">
        <v>0</v>
      </c>
      <c r="W10" s="35">
        <v>0</v>
      </c>
      <c r="X10" s="35">
        <v>0</v>
      </c>
      <c r="Y10" s="11">
        <f t="shared" si="6"/>
        <v>0</v>
      </c>
      <c r="Z10" s="23">
        <v>6848.06</v>
      </c>
      <c r="AA10" s="8">
        <f t="shared" si="7"/>
        <v>0</v>
      </c>
      <c r="AB10" s="23">
        <v>3099.3</v>
      </c>
      <c r="AC10" s="23">
        <v>100</v>
      </c>
      <c r="AD10" s="23">
        <v>20126</v>
      </c>
      <c r="AE10" s="8">
        <f t="shared" si="8"/>
        <v>0</v>
      </c>
      <c r="AF10" s="23">
        <v>1426.6</v>
      </c>
      <c r="AG10" s="23">
        <v>100</v>
      </c>
      <c r="AH10" s="36">
        <f t="shared" si="9"/>
        <v>0</v>
      </c>
      <c r="AI10" s="21">
        <f t="shared" si="10"/>
        <v>0</v>
      </c>
      <c r="AJ10" s="22">
        <f t="shared" si="11"/>
        <v>0</v>
      </c>
      <c r="AK10" s="27">
        <f t="shared" si="12"/>
        <v>392.98999999999796</v>
      </c>
      <c r="AL10" s="40">
        <f t="shared" si="13"/>
        <v>392.98999999999796</v>
      </c>
    </row>
    <row r="11" spans="1:38" ht="25.5" customHeight="1">
      <c r="A11" s="39" t="s">
        <v>300</v>
      </c>
      <c r="B11" s="35">
        <v>4934.04</v>
      </c>
      <c r="C11" s="35">
        <v>113.02</v>
      </c>
      <c r="D11" s="23">
        <v>3412.67</v>
      </c>
      <c r="E11" s="23">
        <v>495.66</v>
      </c>
      <c r="F11" s="23">
        <v>0.81</v>
      </c>
      <c r="G11" s="23">
        <v>0</v>
      </c>
      <c r="H11" s="23">
        <v>40</v>
      </c>
      <c r="I11" s="5">
        <f t="shared" si="0"/>
        <v>0</v>
      </c>
      <c r="J11" s="6">
        <f t="shared" si="14"/>
        <v>945.20000000000437</v>
      </c>
      <c r="K11" s="23">
        <v>197433.59</v>
      </c>
      <c r="L11" s="23">
        <v>0.99199999999999999</v>
      </c>
      <c r="M11" s="7">
        <f t="shared" si="2"/>
        <v>36.880000000004657</v>
      </c>
      <c r="N11" s="23">
        <v>96</v>
      </c>
      <c r="O11" s="8">
        <f t="shared" si="3"/>
        <v>0</v>
      </c>
      <c r="P11" s="23">
        <v>625.79999999999995</v>
      </c>
      <c r="Q11" s="23">
        <v>53</v>
      </c>
      <c r="R11" s="23">
        <v>133205.18</v>
      </c>
      <c r="S11" s="23">
        <v>0.877</v>
      </c>
      <c r="T11" s="25">
        <f t="shared" si="4"/>
        <v>185.19000000000233</v>
      </c>
      <c r="U11" s="26">
        <f t="shared" si="5"/>
        <v>1167.2700000000114</v>
      </c>
      <c r="V11" s="35">
        <v>0</v>
      </c>
      <c r="W11" s="35">
        <v>0</v>
      </c>
      <c r="X11" s="35">
        <v>0</v>
      </c>
      <c r="Y11" s="11">
        <f t="shared" si="6"/>
        <v>0</v>
      </c>
      <c r="Z11" s="23">
        <v>6848.06</v>
      </c>
      <c r="AA11" s="8">
        <f t="shared" si="7"/>
        <v>0</v>
      </c>
      <c r="AB11" s="23">
        <v>3099.33</v>
      </c>
      <c r="AC11" s="23">
        <v>100</v>
      </c>
      <c r="AD11" s="23">
        <v>20126</v>
      </c>
      <c r="AE11" s="8">
        <f t="shared" si="8"/>
        <v>2</v>
      </c>
      <c r="AF11" s="23">
        <v>1426.9</v>
      </c>
      <c r="AG11" s="23">
        <v>100</v>
      </c>
      <c r="AH11" s="36">
        <f t="shared" si="9"/>
        <v>0</v>
      </c>
      <c r="AI11" s="21">
        <f t="shared" si="10"/>
        <v>0</v>
      </c>
      <c r="AJ11" s="22">
        <f t="shared" si="11"/>
        <v>0</v>
      </c>
      <c r="AK11" s="27">
        <f t="shared" si="12"/>
        <v>1169.2700000000114</v>
      </c>
      <c r="AL11" s="40">
        <f t="shared" si="13"/>
        <v>1169.2700000000114</v>
      </c>
    </row>
    <row r="12" spans="1:38" ht="25.5" customHeight="1">
      <c r="A12" s="39" t="s">
        <v>301</v>
      </c>
      <c r="B12" s="35">
        <v>4967.66</v>
      </c>
      <c r="C12" s="35">
        <v>336.2</v>
      </c>
      <c r="D12" s="23">
        <v>3436.3</v>
      </c>
      <c r="E12" s="23">
        <v>495.66</v>
      </c>
      <c r="F12" s="23">
        <v>0.81</v>
      </c>
      <c r="G12" s="23">
        <v>0</v>
      </c>
      <c r="H12" s="23">
        <v>40</v>
      </c>
      <c r="I12" s="5">
        <f t="shared" si="0"/>
        <v>0</v>
      </c>
      <c r="J12" s="6">
        <f t="shared" si="14"/>
        <v>385.19999999998618</v>
      </c>
      <c r="K12" s="23">
        <v>197470.47</v>
      </c>
      <c r="L12" s="23">
        <v>0.99199999999999999</v>
      </c>
      <c r="M12" s="7">
        <f t="shared" si="2"/>
        <v>15.010000000009313</v>
      </c>
      <c r="N12" s="23">
        <v>96</v>
      </c>
      <c r="O12" s="8">
        <f t="shared" si="3"/>
        <v>0</v>
      </c>
      <c r="P12" s="23">
        <v>627.20000000000005</v>
      </c>
      <c r="Q12" s="23">
        <v>49</v>
      </c>
      <c r="R12" s="23">
        <v>133390.37</v>
      </c>
      <c r="S12" s="23">
        <v>0.877</v>
      </c>
      <c r="T12" s="25">
        <f t="shared" si="4"/>
        <v>50.239999999990687</v>
      </c>
      <c r="U12" s="26">
        <f t="shared" si="5"/>
        <v>450.44999999998618</v>
      </c>
      <c r="V12" s="35">
        <v>0</v>
      </c>
      <c r="W12" s="35">
        <v>0</v>
      </c>
      <c r="X12" s="35">
        <v>0</v>
      </c>
      <c r="Y12" s="11">
        <f t="shared" si="6"/>
        <v>0</v>
      </c>
      <c r="Z12" s="23">
        <v>6848.06</v>
      </c>
      <c r="AA12" s="8">
        <f t="shared" si="7"/>
        <v>0</v>
      </c>
      <c r="AB12" s="23">
        <v>3099.36</v>
      </c>
      <c r="AC12" s="23">
        <v>100</v>
      </c>
      <c r="AD12" s="23">
        <v>20128</v>
      </c>
      <c r="AE12" s="8">
        <f t="shared" si="8"/>
        <v>0</v>
      </c>
      <c r="AF12" s="23">
        <v>1426.9</v>
      </c>
      <c r="AG12" s="23">
        <v>100</v>
      </c>
      <c r="AH12" s="36">
        <f t="shared" si="9"/>
        <v>0</v>
      </c>
      <c r="AI12" s="21">
        <f t="shared" si="10"/>
        <v>0</v>
      </c>
      <c r="AJ12" s="22">
        <f t="shared" si="11"/>
        <v>0</v>
      </c>
      <c r="AK12" s="27">
        <f t="shared" si="12"/>
        <v>450.44999999998618</v>
      </c>
      <c r="AL12" s="40">
        <f t="shared" si="13"/>
        <v>450.44999999998618</v>
      </c>
    </row>
    <row r="13" spans="1:38" ht="25.5" customHeight="1">
      <c r="A13" s="39" t="s">
        <v>302</v>
      </c>
      <c r="B13" s="35">
        <v>4989.46</v>
      </c>
      <c r="C13" s="35">
        <v>128.03</v>
      </c>
      <c r="D13" s="23">
        <v>3445.93</v>
      </c>
      <c r="E13" s="23">
        <v>495.66</v>
      </c>
      <c r="F13" s="23">
        <v>0.81</v>
      </c>
      <c r="G13" s="23">
        <v>0</v>
      </c>
      <c r="H13" s="23">
        <v>40</v>
      </c>
      <c r="I13" s="5">
        <f t="shared" si="0"/>
        <v>0</v>
      </c>
      <c r="J13" s="6">
        <f t="shared" si="14"/>
        <v>381.200000000008</v>
      </c>
      <c r="K13" s="23">
        <v>197485.48</v>
      </c>
      <c r="L13" s="23">
        <v>0.99199999999999999</v>
      </c>
      <c r="M13" s="7">
        <f t="shared" si="2"/>
        <v>10.569999999977881</v>
      </c>
      <c r="N13" s="23">
        <v>96</v>
      </c>
      <c r="O13" s="8">
        <f t="shared" si="3"/>
        <v>0</v>
      </c>
      <c r="P13" s="23">
        <v>627.4</v>
      </c>
      <c r="Q13" s="23">
        <v>100</v>
      </c>
      <c r="R13" s="23">
        <v>133440.60999999999</v>
      </c>
      <c r="S13" s="23">
        <v>0.877</v>
      </c>
      <c r="T13" s="25">
        <f t="shared" si="4"/>
        <v>15.970000000001164</v>
      </c>
      <c r="U13" s="26">
        <f t="shared" si="5"/>
        <v>407.73999999998705</v>
      </c>
      <c r="V13" s="35">
        <v>0</v>
      </c>
      <c r="W13" s="35">
        <v>0</v>
      </c>
      <c r="X13" s="35">
        <v>0</v>
      </c>
      <c r="Y13" s="11">
        <f t="shared" si="6"/>
        <v>0</v>
      </c>
      <c r="Z13" s="23">
        <v>6848.06</v>
      </c>
      <c r="AA13" s="8">
        <f t="shared" si="7"/>
        <v>0</v>
      </c>
      <c r="AB13" s="23">
        <v>3099.36</v>
      </c>
      <c r="AC13" s="23">
        <v>100</v>
      </c>
      <c r="AD13" s="23">
        <v>20128</v>
      </c>
      <c r="AE13" s="8">
        <f t="shared" si="8"/>
        <v>0</v>
      </c>
      <c r="AF13" s="23">
        <v>1426.9</v>
      </c>
      <c r="AG13" s="23">
        <v>100</v>
      </c>
      <c r="AH13" s="36">
        <f t="shared" si="9"/>
        <v>0</v>
      </c>
      <c r="AI13" s="21">
        <f t="shared" si="10"/>
        <v>0</v>
      </c>
      <c r="AJ13" s="22">
        <f t="shared" si="11"/>
        <v>0</v>
      </c>
      <c r="AK13" s="27">
        <f t="shared" si="12"/>
        <v>407.73999999998705</v>
      </c>
      <c r="AL13" s="40">
        <f t="shared" si="13"/>
        <v>407.73999999998705</v>
      </c>
    </row>
    <row r="14" spans="1:38" ht="25.5" customHeight="1">
      <c r="A14" s="39" t="s">
        <v>303</v>
      </c>
      <c r="B14" s="23">
        <v>4929.6000000000004</v>
      </c>
      <c r="C14" s="23">
        <v>125.4</v>
      </c>
      <c r="D14" s="23">
        <v>3455.46</v>
      </c>
      <c r="E14" s="23">
        <v>495.66</v>
      </c>
      <c r="F14" s="23">
        <v>0.81</v>
      </c>
      <c r="G14" s="23">
        <v>0</v>
      </c>
      <c r="H14" s="23">
        <v>40</v>
      </c>
      <c r="I14" s="5">
        <f t="shared" si="0"/>
        <v>0</v>
      </c>
      <c r="J14" s="6">
        <f t="shared" si="14"/>
        <v>381.19999999998981</v>
      </c>
      <c r="K14" s="23">
        <v>197496.05</v>
      </c>
      <c r="L14" s="23">
        <v>0.99199999999999999</v>
      </c>
      <c r="M14" s="7">
        <f t="shared" si="2"/>
        <v>12.960000000020955</v>
      </c>
      <c r="N14" s="23">
        <v>96</v>
      </c>
      <c r="O14" s="8">
        <f t="shared" si="3"/>
        <v>0</v>
      </c>
      <c r="P14" s="23">
        <v>627.4</v>
      </c>
      <c r="Q14" s="23">
        <v>100</v>
      </c>
      <c r="R14" s="23">
        <v>133456.57999999999</v>
      </c>
      <c r="S14" s="23">
        <v>0.877</v>
      </c>
      <c r="T14" s="25">
        <f t="shared" si="4"/>
        <v>33.090000000025611</v>
      </c>
      <c r="U14" s="26">
        <f t="shared" si="5"/>
        <v>427.25000000003638</v>
      </c>
      <c r="V14" s="35">
        <v>0</v>
      </c>
      <c r="W14" s="35">
        <v>0</v>
      </c>
      <c r="X14" s="35">
        <v>0</v>
      </c>
      <c r="Y14" s="11">
        <f t="shared" si="6"/>
        <v>0</v>
      </c>
      <c r="Z14" s="23">
        <v>6848.06</v>
      </c>
      <c r="AA14" s="8">
        <f t="shared" si="7"/>
        <v>0</v>
      </c>
      <c r="AB14" s="23">
        <v>3099.39</v>
      </c>
      <c r="AC14" s="23">
        <v>100</v>
      </c>
      <c r="AD14" s="23">
        <v>20128</v>
      </c>
      <c r="AE14" s="8">
        <f t="shared" si="8"/>
        <v>2</v>
      </c>
      <c r="AF14" s="23">
        <v>1427</v>
      </c>
      <c r="AG14" s="23">
        <v>100</v>
      </c>
      <c r="AH14" s="36">
        <f t="shared" si="9"/>
        <v>0</v>
      </c>
      <c r="AI14" s="21">
        <f t="shared" si="10"/>
        <v>0</v>
      </c>
      <c r="AJ14" s="22">
        <f t="shared" si="11"/>
        <v>0</v>
      </c>
      <c r="AK14" s="27">
        <f t="shared" si="12"/>
        <v>429.25000000003638</v>
      </c>
      <c r="AL14" s="40">
        <f t="shared" si="13"/>
        <v>429.25000000003638</v>
      </c>
    </row>
    <row r="15" spans="1:38" ht="25.5" customHeight="1">
      <c r="A15" s="39" t="s">
        <v>304</v>
      </c>
      <c r="B15" s="23">
        <v>5060.7</v>
      </c>
      <c r="C15" s="23">
        <v>131.01</v>
      </c>
      <c r="D15" s="23">
        <v>3464.99</v>
      </c>
      <c r="E15" s="23">
        <v>495.66</v>
      </c>
      <c r="F15" s="23">
        <v>0.81</v>
      </c>
      <c r="G15" s="23">
        <v>0</v>
      </c>
      <c r="H15" s="23">
        <v>40</v>
      </c>
      <c r="I15" s="5">
        <f t="shared" si="0"/>
        <v>0</v>
      </c>
      <c r="J15" s="6">
        <f t="shared" si="14"/>
        <v>349.20000000000073</v>
      </c>
      <c r="K15" s="23">
        <v>197509.01</v>
      </c>
      <c r="L15" s="23">
        <v>0.99199999999999999</v>
      </c>
      <c r="M15" s="7">
        <f t="shared" si="2"/>
        <v>10.470000000001164</v>
      </c>
      <c r="N15" s="23">
        <v>96</v>
      </c>
      <c r="O15" s="8">
        <f t="shared" si="3"/>
        <v>0</v>
      </c>
      <c r="P15" s="23">
        <v>627.6</v>
      </c>
      <c r="Q15" s="23">
        <v>100</v>
      </c>
      <c r="R15" s="23">
        <v>133489.67000000001</v>
      </c>
      <c r="S15" s="23">
        <v>0.877</v>
      </c>
      <c r="T15" s="25">
        <f t="shared" si="4"/>
        <v>54.619999999995343</v>
      </c>
      <c r="U15" s="26">
        <f t="shared" si="5"/>
        <v>414.28999999999724</v>
      </c>
      <c r="V15" s="35">
        <v>0</v>
      </c>
      <c r="W15" s="35">
        <v>0</v>
      </c>
      <c r="X15" s="35">
        <v>0</v>
      </c>
      <c r="Y15" s="11">
        <f t="shared" si="6"/>
        <v>0</v>
      </c>
      <c r="Z15" s="23">
        <v>6848.06</v>
      </c>
      <c r="AA15" s="8">
        <f t="shared" si="7"/>
        <v>0</v>
      </c>
      <c r="AB15" s="23">
        <v>3099.4</v>
      </c>
      <c r="AC15" s="23">
        <v>100</v>
      </c>
      <c r="AD15" s="23">
        <v>20130</v>
      </c>
      <c r="AE15" s="8">
        <f t="shared" si="8"/>
        <v>0</v>
      </c>
      <c r="AF15" s="23">
        <v>1427.2</v>
      </c>
      <c r="AG15" s="23">
        <v>100</v>
      </c>
      <c r="AH15" s="36">
        <f t="shared" si="9"/>
        <v>0</v>
      </c>
      <c r="AI15" s="21">
        <f t="shared" si="10"/>
        <v>0</v>
      </c>
      <c r="AJ15" s="22">
        <f t="shared" si="11"/>
        <v>0</v>
      </c>
      <c r="AK15" s="27">
        <f t="shared" si="12"/>
        <v>414.28999999999724</v>
      </c>
      <c r="AL15" s="40">
        <f t="shared" si="13"/>
        <v>414.28999999999724</v>
      </c>
    </row>
    <row r="16" spans="1:38" ht="25.5" customHeight="1">
      <c r="A16" s="39" t="s">
        <v>305</v>
      </c>
      <c r="B16" s="23">
        <v>5017.3100000000004</v>
      </c>
      <c r="C16" s="23">
        <v>172.4</v>
      </c>
      <c r="D16" s="23">
        <v>3473.72</v>
      </c>
      <c r="E16" s="23">
        <v>495.66</v>
      </c>
      <c r="F16" s="23">
        <v>0.81499999999999995</v>
      </c>
      <c r="G16" s="23">
        <v>0</v>
      </c>
      <c r="H16" s="23">
        <v>40</v>
      </c>
      <c r="I16" s="5">
        <f t="shared" si="0"/>
        <v>0</v>
      </c>
      <c r="J16" s="6">
        <f t="shared" si="14"/>
        <v>768.80000000001019</v>
      </c>
      <c r="K16" s="23">
        <v>197519.48</v>
      </c>
      <c r="L16" s="23">
        <v>0.99199999999999999</v>
      </c>
      <c r="M16" s="7">
        <f t="shared" si="2"/>
        <v>92.839999999996508</v>
      </c>
      <c r="N16" s="23">
        <v>96</v>
      </c>
      <c r="O16" s="8">
        <f t="shared" si="3"/>
        <v>0</v>
      </c>
      <c r="P16" s="23">
        <v>627.6</v>
      </c>
      <c r="Q16" s="23">
        <v>100</v>
      </c>
      <c r="R16" s="23">
        <v>133544.29</v>
      </c>
      <c r="S16" s="23">
        <v>0.877</v>
      </c>
      <c r="T16" s="25">
        <f t="shared" si="4"/>
        <v>116.19000000000233</v>
      </c>
      <c r="U16" s="26">
        <f t="shared" si="5"/>
        <v>977.83000000000902</v>
      </c>
      <c r="V16" s="35">
        <v>0</v>
      </c>
      <c r="W16" s="35">
        <v>0</v>
      </c>
      <c r="X16" s="35">
        <v>0</v>
      </c>
      <c r="Y16" s="11">
        <f t="shared" si="6"/>
        <v>0</v>
      </c>
      <c r="Z16" s="23">
        <v>6848.06</v>
      </c>
      <c r="AA16" s="8">
        <f t="shared" si="7"/>
        <v>0</v>
      </c>
      <c r="AB16" s="23">
        <v>3099.41</v>
      </c>
      <c r="AC16" s="23">
        <v>100</v>
      </c>
      <c r="AD16" s="23">
        <v>20130</v>
      </c>
      <c r="AE16" s="8">
        <f t="shared" si="8"/>
        <v>1</v>
      </c>
      <c r="AF16" s="23">
        <v>1427.2</v>
      </c>
      <c r="AG16" s="23">
        <v>100</v>
      </c>
      <c r="AH16" s="36">
        <f t="shared" si="9"/>
        <v>0</v>
      </c>
      <c r="AI16" s="21">
        <f t="shared" si="10"/>
        <v>0</v>
      </c>
      <c r="AJ16" s="22">
        <f t="shared" si="11"/>
        <v>0</v>
      </c>
      <c r="AK16" s="27">
        <f t="shared" si="12"/>
        <v>978.83000000000902</v>
      </c>
      <c r="AL16" s="40">
        <f t="shared" si="13"/>
        <v>978.83000000000902</v>
      </c>
    </row>
    <row r="17" spans="1:38" ht="25.5" customHeight="1">
      <c r="A17" s="39" t="s">
        <v>306</v>
      </c>
      <c r="B17" s="23">
        <v>5042.66</v>
      </c>
      <c r="C17" s="23">
        <v>253.4</v>
      </c>
      <c r="D17" s="23">
        <v>3492.94</v>
      </c>
      <c r="E17" s="23">
        <v>495.66</v>
      </c>
      <c r="F17" s="23">
        <v>0.81899999999999995</v>
      </c>
      <c r="G17" s="23">
        <v>0</v>
      </c>
      <c r="H17" s="23">
        <v>40</v>
      </c>
      <c r="I17" s="5">
        <f t="shared" si="0"/>
        <v>0</v>
      </c>
      <c r="J17" s="6">
        <f t="shared" si="14"/>
        <v>609.59999999999127</v>
      </c>
      <c r="K17" s="23">
        <v>197612.32</v>
      </c>
      <c r="L17" s="23">
        <v>0.99199999999999999</v>
      </c>
      <c r="M17" s="7">
        <f t="shared" si="2"/>
        <v>116.19000000000233</v>
      </c>
      <c r="N17" s="23">
        <v>96</v>
      </c>
      <c r="O17" s="8">
        <f t="shared" si="3"/>
        <v>0</v>
      </c>
      <c r="P17" s="23">
        <v>627.9</v>
      </c>
      <c r="Q17" s="23">
        <v>100</v>
      </c>
      <c r="R17" s="23">
        <v>133660.48000000001</v>
      </c>
      <c r="S17" s="23">
        <v>0.878</v>
      </c>
      <c r="T17" s="25">
        <f t="shared" si="4"/>
        <v>73.129999999975553</v>
      </c>
      <c r="U17" s="26">
        <f t="shared" si="5"/>
        <v>798.91999999996915</v>
      </c>
      <c r="V17" s="35">
        <v>0</v>
      </c>
      <c r="W17" s="35">
        <v>0</v>
      </c>
      <c r="X17" s="35">
        <v>0</v>
      </c>
      <c r="Y17" s="11">
        <f t="shared" si="6"/>
        <v>0</v>
      </c>
      <c r="Z17" s="23">
        <v>6848.06</v>
      </c>
      <c r="AA17" s="8">
        <f t="shared" si="7"/>
        <v>0</v>
      </c>
      <c r="AB17" s="23">
        <v>3099.42</v>
      </c>
      <c r="AC17" s="23">
        <v>100</v>
      </c>
      <c r="AD17" s="23">
        <v>20131</v>
      </c>
      <c r="AE17" s="8">
        <f t="shared" si="8"/>
        <v>5</v>
      </c>
      <c r="AF17" s="23">
        <v>1427.4</v>
      </c>
      <c r="AG17" s="23">
        <v>100</v>
      </c>
      <c r="AH17" s="36">
        <f t="shared" si="9"/>
        <v>0</v>
      </c>
      <c r="AI17" s="21">
        <f t="shared" si="10"/>
        <v>0</v>
      </c>
      <c r="AJ17" s="22">
        <f t="shared" si="11"/>
        <v>0</v>
      </c>
      <c r="AK17" s="27">
        <f t="shared" si="12"/>
        <v>803.91999999996915</v>
      </c>
      <c r="AL17" s="40">
        <f t="shared" si="13"/>
        <v>803.91999999996915</v>
      </c>
    </row>
    <row r="18" spans="1:38" ht="25.5" customHeight="1">
      <c r="A18" s="39" t="s">
        <v>307</v>
      </c>
      <c r="B18" s="23">
        <v>5060.6000000000004</v>
      </c>
      <c r="C18" s="23">
        <v>179.4</v>
      </c>
      <c r="D18" s="23">
        <v>3508.18</v>
      </c>
      <c r="E18" s="23">
        <v>495.66</v>
      </c>
      <c r="F18" s="23">
        <v>0.82599999999999996</v>
      </c>
      <c r="G18" s="23">
        <v>0</v>
      </c>
      <c r="H18" s="23">
        <v>40</v>
      </c>
      <c r="I18" s="5">
        <f t="shared" si="0"/>
        <v>0</v>
      </c>
      <c r="J18" s="6">
        <f t="shared" si="14"/>
        <v>630.40000000000873</v>
      </c>
      <c r="K18" s="23">
        <v>197728.51</v>
      </c>
      <c r="L18" s="23">
        <v>0.99199999999999999</v>
      </c>
      <c r="M18" s="7">
        <f t="shared" si="2"/>
        <v>116.22999999998137</v>
      </c>
      <c r="N18" s="23">
        <v>96</v>
      </c>
      <c r="O18" s="8">
        <f t="shared" si="3"/>
        <v>0</v>
      </c>
      <c r="P18" s="23">
        <v>628.29999999999995</v>
      </c>
      <c r="Q18" s="23">
        <v>99</v>
      </c>
      <c r="R18" s="23">
        <v>133733.60999999999</v>
      </c>
      <c r="S18" s="23">
        <v>0.878</v>
      </c>
      <c r="T18" s="25">
        <f t="shared" si="4"/>
        <v>134.69000000000233</v>
      </c>
      <c r="U18" s="26">
        <f t="shared" si="5"/>
        <v>881.31999999999243</v>
      </c>
      <c r="V18" s="35">
        <v>14.22</v>
      </c>
      <c r="W18" s="35">
        <v>15.44</v>
      </c>
      <c r="X18" s="35">
        <v>14.28</v>
      </c>
      <c r="Y18" s="11">
        <f t="shared" si="6"/>
        <v>43.94</v>
      </c>
      <c r="Z18" s="23">
        <v>6848.06</v>
      </c>
      <c r="AA18" s="8">
        <f t="shared" si="7"/>
        <v>0</v>
      </c>
      <c r="AB18" s="23">
        <v>3099.42</v>
      </c>
      <c r="AC18" s="23">
        <v>100</v>
      </c>
      <c r="AD18" s="23">
        <v>20136</v>
      </c>
      <c r="AE18" s="8">
        <f t="shared" si="8"/>
        <v>4</v>
      </c>
      <c r="AF18" s="23">
        <v>1427.8</v>
      </c>
      <c r="AG18" s="23">
        <v>100</v>
      </c>
      <c r="AH18" s="36">
        <f t="shared" si="9"/>
        <v>43.94</v>
      </c>
      <c r="AI18" s="21">
        <f t="shared" si="10"/>
        <v>0</v>
      </c>
      <c r="AJ18" s="22">
        <f t="shared" si="11"/>
        <v>43.94</v>
      </c>
      <c r="AK18" s="27">
        <f t="shared" si="12"/>
        <v>885.31999999999243</v>
      </c>
      <c r="AL18" s="40">
        <f t="shared" si="13"/>
        <v>929.25999999999249</v>
      </c>
    </row>
    <row r="19" spans="1:38" ht="25.5" customHeight="1">
      <c r="A19" s="39" t="s">
        <v>308</v>
      </c>
      <c r="B19" s="23">
        <v>5079.24</v>
      </c>
      <c r="C19" s="23">
        <v>184.4</v>
      </c>
      <c r="D19" s="23">
        <v>3523.94</v>
      </c>
      <c r="E19" s="23">
        <v>495.66</v>
      </c>
      <c r="F19" s="23">
        <v>0.82599999999999996</v>
      </c>
      <c r="G19" s="23">
        <v>0</v>
      </c>
      <c r="H19" s="23">
        <v>40</v>
      </c>
      <c r="I19" s="5">
        <f t="shared" si="0"/>
        <v>0</v>
      </c>
      <c r="J19" s="6">
        <f t="shared" si="14"/>
        <v>433.19999999999709</v>
      </c>
      <c r="K19" s="23">
        <v>197844.74</v>
      </c>
      <c r="L19" s="23">
        <v>0.99199999999999999</v>
      </c>
      <c r="M19" s="7">
        <f t="shared" si="2"/>
        <v>114.86999999999534</v>
      </c>
      <c r="N19" s="23">
        <v>96</v>
      </c>
      <c r="O19" s="8">
        <f t="shared" si="3"/>
        <v>0</v>
      </c>
      <c r="P19" s="23">
        <v>628.70000000000005</v>
      </c>
      <c r="Q19" s="23">
        <v>99</v>
      </c>
      <c r="R19" s="23">
        <v>133868.29999999999</v>
      </c>
      <c r="S19" s="23">
        <v>0.878</v>
      </c>
      <c r="T19" s="25">
        <f t="shared" si="4"/>
        <v>12.510000000009313</v>
      </c>
      <c r="U19" s="26">
        <f t="shared" si="5"/>
        <v>560.58000000000175</v>
      </c>
      <c r="V19" s="35">
        <v>14.24</v>
      </c>
      <c r="W19" s="35">
        <v>15.44</v>
      </c>
      <c r="X19" s="35">
        <v>15.44</v>
      </c>
      <c r="Y19" s="11">
        <f t="shared" si="6"/>
        <v>45.12</v>
      </c>
      <c r="Z19" s="23">
        <v>6848.06</v>
      </c>
      <c r="AA19" s="8">
        <f t="shared" si="7"/>
        <v>0</v>
      </c>
      <c r="AB19" s="23">
        <v>3099.43</v>
      </c>
      <c r="AC19" s="23">
        <v>100</v>
      </c>
      <c r="AD19" s="23">
        <v>20140</v>
      </c>
      <c r="AE19" s="8">
        <f t="shared" si="8"/>
        <v>7</v>
      </c>
      <c r="AF19" s="23">
        <v>1428</v>
      </c>
      <c r="AG19" s="23">
        <v>100</v>
      </c>
      <c r="AH19" s="36">
        <f t="shared" si="9"/>
        <v>45.12</v>
      </c>
      <c r="AI19" s="21">
        <f t="shared" si="10"/>
        <v>0</v>
      </c>
      <c r="AJ19" s="22">
        <f t="shared" si="11"/>
        <v>45.12</v>
      </c>
      <c r="AK19" s="27">
        <f t="shared" si="12"/>
        <v>567.58000000000175</v>
      </c>
      <c r="AL19" s="40">
        <f t="shared" si="13"/>
        <v>612.70000000000175</v>
      </c>
    </row>
    <row r="20" spans="1:38" ht="25.5" customHeight="1">
      <c r="A20" s="39" t="s">
        <v>309</v>
      </c>
      <c r="B20" s="23">
        <v>5096.3599999999997</v>
      </c>
      <c r="C20" s="23">
        <v>173.2</v>
      </c>
      <c r="D20" s="23">
        <v>3534.77</v>
      </c>
      <c r="E20" s="23">
        <v>495.66</v>
      </c>
      <c r="F20" s="23">
        <v>0.83199999999999996</v>
      </c>
      <c r="G20" s="23">
        <v>0</v>
      </c>
      <c r="H20" s="23">
        <v>40</v>
      </c>
      <c r="I20" s="5">
        <f t="shared" si="0"/>
        <v>0</v>
      </c>
      <c r="J20" s="6">
        <f t="shared" si="14"/>
        <v>1004.4000000000051</v>
      </c>
      <c r="K20" s="23">
        <v>197959.61</v>
      </c>
      <c r="L20" s="23">
        <v>0.99199999999999999</v>
      </c>
      <c r="M20" s="7">
        <f t="shared" si="2"/>
        <v>116.39000000001397</v>
      </c>
      <c r="N20" s="23">
        <v>96</v>
      </c>
      <c r="O20" s="8">
        <f t="shared" si="3"/>
        <v>0</v>
      </c>
      <c r="P20" s="23">
        <v>629.1</v>
      </c>
      <c r="Q20" s="23">
        <v>94</v>
      </c>
      <c r="R20" s="23">
        <v>133880.81</v>
      </c>
      <c r="S20" s="23">
        <v>0.874</v>
      </c>
      <c r="T20" s="25">
        <f t="shared" si="4"/>
        <v>0</v>
      </c>
      <c r="U20" s="26">
        <f t="shared" si="5"/>
        <v>1120.7900000000191</v>
      </c>
      <c r="V20" s="35">
        <v>0</v>
      </c>
      <c r="W20" s="35">
        <v>0</v>
      </c>
      <c r="X20" s="35">
        <v>0</v>
      </c>
      <c r="Y20" s="11">
        <f t="shared" si="6"/>
        <v>0</v>
      </c>
      <c r="Z20" s="23">
        <v>6848.06</v>
      </c>
      <c r="AA20" s="8">
        <f t="shared" si="7"/>
        <v>0</v>
      </c>
      <c r="AB20" s="23">
        <v>3099.46</v>
      </c>
      <c r="AC20" s="23">
        <v>100</v>
      </c>
      <c r="AD20" s="23">
        <v>20147</v>
      </c>
      <c r="AE20" s="8">
        <f t="shared" si="8"/>
        <v>6</v>
      </c>
      <c r="AF20" s="23">
        <v>1428.3</v>
      </c>
      <c r="AG20" s="23">
        <v>97</v>
      </c>
      <c r="AH20" s="36">
        <f t="shared" si="9"/>
        <v>0</v>
      </c>
      <c r="AI20" s="21">
        <f t="shared" si="10"/>
        <v>0</v>
      </c>
      <c r="AJ20" s="22">
        <f t="shared" si="11"/>
        <v>0</v>
      </c>
      <c r="AK20" s="27">
        <f t="shared" si="12"/>
        <v>1126.7900000000191</v>
      </c>
      <c r="AL20" s="40">
        <f t="shared" si="13"/>
        <v>1126.7900000000191</v>
      </c>
    </row>
    <row r="21" spans="1:38" ht="25.5" customHeight="1">
      <c r="A21" s="39" t="s">
        <v>310</v>
      </c>
      <c r="B21" s="23">
        <v>5115.4399999999996</v>
      </c>
      <c r="C21" s="23">
        <v>190.8</v>
      </c>
      <c r="D21" s="23">
        <v>3559.88</v>
      </c>
      <c r="E21" s="23">
        <v>495.66</v>
      </c>
      <c r="F21" s="23">
        <v>0.84499999999999997</v>
      </c>
      <c r="G21" s="23">
        <v>0</v>
      </c>
      <c r="H21" s="23">
        <v>40</v>
      </c>
      <c r="I21" s="5">
        <f t="shared" si="0"/>
        <v>0</v>
      </c>
      <c r="J21" s="6">
        <f t="shared" si="14"/>
        <v>741.19999999998981</v>
      </c>
      <c r="K21" s="23">
        <v>198076</v>
      </c>
      <c r="L21" s="23">
        <v>0.99299999999999999</v>
      </c>
      <c r="M21" s="7">
        <f t="shared" si="2"/>
        <v>112.67000000001281</v>
      </c>
      <c r="N21" s="23">
        <v>96</v>
      </c>
      <c r="O21" s="8">
        <f t="shared" si="3"/>
        <v>0</v>
      </c>
      <c r="P21" s="23">
        <v>629.20000000000005</v>
      </c>
      <c r="Q21" s="23">
        <v>94</v>
      </c>
      <c r="R21" s="23">
        <v>133880.81</v>
      </c>
      <c r="S21" s="23">
        <v>0.874</v>
      </c>
      <c r="T21" s="25">
        <f t="shared" si="4"/>
        <v>0</v>
      </c>
      <c r="U21" s="26">
        <f t="shared" si="5"/>
        <v>853.87000000000262</v>
      </c>
      <c r="V21" s="35">
        <v>0</v>
      </c>
      <c r="W21" s="35">
        <v>0</v>
      </c>
      <c r="X21" s="35">
        <v>0</v>
      </c>
      <c r="Y21" s="11">
        <f t="shared" si="6"/>
        <v>0</v>
      </c>
      <c r="Z21" s="23">
        <v>6848.06</v>
      </c>
      <c r="AA21" s="8">
        <f t="shared" si="7"/>
        <v>0</v>
      </c>
      <c r="AB21" s="23">
        <v>3099.47</v>
      </c>
      <c r="AC21" s="23">
        <v>100</v>
      </c>
      <c r="AD21" s="23">
        <v>20153</v>
      </c>
      <c r="AE21" s="8">
        <f t="shared" si="8"/>
        <v>3</v>
      </c>
      <c r="AF21" s="23">
        <v>1428.6</v>
      </c>
      <c r="AG21" s="23">
        <v>97</v>
      </c>
      <c r="AH21" s="36">
        <f t="shared" si="9"/>
        <v>0</v>
      </c>
      <c r="AI21" s="21">
        <f t="shared" si="10"/>
        <v>0</v>
      </c>
      <c r="AJ21" s="22">
        <f t="shared" si="11"/>
        <v>0</v>
      </c>
      <c r="AK21" s="27">
        <f t="shared" si="12"/>
        <v>856.87000000000262</v>
      </c>
      <c r="AL21" s="40">
        <f t="shared" si="13"/>
        <v>856.87000000000262</v>
      </c>
    </row>
    <row r="22" spans="1:38" ht="25.5" customHeight="1">
      <c r="A22" s="39" t="s">
        <v>311</v>
      </c>
      <c r="B22" s="23">
        <v>5135.8500000000004</v>
      </c>
      <c r="C22" s="23">
        <v>204.1</v>
      </c>
      <c r="D22" s="23">
        <v>3578.41</v>
      </c>
      <c r="E22" s="23">
        <v>495.66</v>
      </c>
      <c r="F22" s="23">
        <v>0.84499999999999997</v>
      </c>
      <c r="G22" s="23">
        <v>0</v>
      </c>
      <c r="H22" s="23">
        <v>40</v>
      </c>
      <c r="I22" s="5">
        <f t="shared" si="0"/>
        <v>0</v>
      </c>
      <c r="J22" s="6">
        <f t="shared" si="14"/>
        <v>571.59999999999854</v>
      </c>
      <c r="K22" s="23">
        <v>198188.67</v>
      </c>
      <c r="L22" s="23">
        <v>0.99199999999999999</v>
      </c>
      <c r="M22" s="7">
        <f t="shared" si="2"/>
        <v>99.189999999973224</v>
      </c>
      <c r="N22" s="23">
        <v>96</v>
      </c>
      <c r="O22" s="8">
        <f t="shared" si="3"/>
        <v>0</v>
      </c>
      <c r="P22" s="23">
        <v>629.5</v>
      </c>
      <c r="Q22" s="23">
        <v>92</v>
      </c>
      <c r="R22" s="23">
        <v>133880.81</v>
      </c>
      <c r="S22" s="23">
        <v>0.874</v>
      </c>
      <c r="T22" s="25">
        <f t="shared" si="4"/>
        <v>0</v>
      </c>
      <c r="U22" s="26">
        <f t="shared" si="5"/>
        <v>670.78999999997177</v>
      </c>
      <c r="V22" s="35">
        <v>0</v>
      </c>
      <c r="W22" s="35">
        <v>0</v>
      </c>
      <c r="X22" s="35">
        <v>0</v>
      </c>
      <c r="Y22" s="11">
        <f t="shared" si="6"/>
        <v>0</v>
      </c>
      <c r="Z22" s="23">
        <v>6848.06</v>
      </c>
      <c r="AA22" s="8">
        <f t="shared" si="7"/>
        <v>0</v>
      </c>
      <c r="AB22" s="23">
        <v>3099.48</v>
      </c>
      <c r="AC22" s="23">
        <v>93</v>
      </c>
      <c r="AD22" s="23">
        <v>20156</v>
      </c>
      <c r="AE22" s="8">
        <f t="shared" si="8"/>
        <v>0</v>
      </c>
      <c r="AF22" s="23">
        <v>1428.9</v>
      </c>
      <c r="AG22" s="23">
        <v>96</v>
      </c>
      <c r="AH22" s="36">
        <f t="shared" si="9"/>
        <v>0</v>
      </c>
      <c r="AI22" s="21">
        <f t="shared" si="10"/>
        <v>0</v>
      </c>
      <c r="AJ22" s="22">
        <f t="shared" si="11"/>
        <v>0</v>
      </c>
      <c r="AK22" s="27">
        <f t="shared" si="12"/>
        <v>670.78999999997177</v>
      </c>
      <c r="AL22" s="40">
        <f t="shared" si="13"/>
        <v>670.78999999997177</v>
      </c>
    </row>
    <row r="23" spans="1:38" ht="25.5" customHeight="1">
      <c r="A23" s="39" t="s">
        <v>312</v>
      </c>
      <c r="B23" s="23">
        <v>5148.9799999999996</v>
      </c>
      <c r="C23" s="23">
        <v>131.30000000000001</v>
      </c>
      <c r="D23" s="23">
        <v>3592.7</v>
      </c>
      <c r="E23" s="23">
        <v>495.66</v>
      </c>
      <c r="F23" s="23">
        <v>0.85199999999999998</v>
      </c>
      <c r="G23" s="23">
        <v>0</v>
      </c>
      <c r="H23" s="23">
        <v>40</v>
      </c>
      <c r="I23" s="5">
        <f t="shared" si="0"/>
        <v>0</v>
      </c>
      <c r="J23" s="6">
        <f t="shared" si="14"/>
        <v>641.59999999999854</v>
      </c>
      <c r="K23" s="23">
        <v>198287.86</v>
      </c>
      <c r="L23" s="23">
        <v>0.99199999999999999</v>
      </c>
      <c r="M23" s="7">
        <f t="shared" si="2"/>
        <v>145.93000000002212</v>
      </c>
      <c r="N23" s="23">
        <v>96</v>
      </c>
      <c r="O23" s="8">
        <f t="shared" si="3"/>
        <v>0</v>
      </c>
      <c r="P23" s="23">
        <v>629.6</v>
      </c>
      <c r="Q23" s="23">
        <v>92</v>
      </c>
      <c r="R23" s="23">
        <v>133880.81</v>
      </c>
      <c r="S23" s="23">
        <v>0.874</v>
      </c>
      <c r="T23" s="25">
        <f t="shared" si="4"/>
        <v>0</v>
      </c>
      <c r="U23" s="26">
        <f t="shared" si="5"/>
        <v>787.53000000002066</v>
      </c>
      <c r="V23" s="35">
        <v>0</v>
      </c>
      <c r="W23" s="35">
        <v>0</v>
      </c>
      <c r="X23" s="35">
        <v>0</v>
      </c>
      <c r="Y23" s="11">
        <f t="shared" si="6"/>
        <v>0</v>
      </c>
      <c r="Z23" s="23">
        <v>6848.06</v>
      </c>
      <c r="AA23" s="8">
        <f t="shared" si="7"/>
        <v>0</v>
      </c>
      <c r="AB23" s="23">
        <v>3099.48</v>
      </c>
      <c r="AC23" s="23">
        <v>93</v>
      </c>
      <c r="AD23" s="23">
        <v>20156</v>
      </c>
      <c r="AE23" s="8">
        <f t="shared" si="8"/>
        <v>17</v>
      </c>
      <c r="AF23" s="23">
        <v>1429</v>
      </c>
      <c r="AG23" s="23">
        <v>93</v>
      </c>
      <c r="AH23" s="36">
        <f t="shared" si="9"/>
        <v>0</v>
      </c>
      <c r="AI23" s="21">
        <f t="shared" si="10"/>
        <v>0</v>
      </c>
      <c r="AJ23" s="22">
        <f t="shared" si="11"/>
        <v>0</v>
      </c>
      <c r="AK23" s="27">
        <f t="shared" si="12"/>
        <v>804.53000000002066</v>
      </c>
      <c r="AL23" s="40">
        <f t="shared" si="13"/>
        <v>804.53000000002066</v>
      </c>
    </row>
    <row r="24" spans="1:38" ht="25.5" customHeight="1">
      <c r="A24" s="39" t="s">
        <v>313</v>
      </c>
      <c r="B24" s="23">
        <v>5161.8900000000003</v>
      </c>
      <c r="C24" s="23">
        <v>129.1</v>
      </c>
      <c r="D24" s="23">
        <v>3608.74</v>
      </c>
      <c r="E24" s="23">
        <v>495.66</v>
      </c>
      <c r="F24" s="23">
        <v>0.85499999999999998</v>
      </c>
      <c r="G24" s="23">
        <v>0</v>
      </c>
      <c r="H24" s="23">
        <v>40</v>
      </c>
      <c r="I24" s="5">
        <f t="shared" si="0"/>
        <v>0</v>
      </c>
      <c r="J24" s="6">
        <f t="shared" si="14"/>
        <v>748.00000000001091</v>
      </c>
      <c r="K24" s="23">
        <v>198433.79</v>
      </c>
      <c r="L24" s="23">
        <v>0.99199999999999999</v>
      </c>
      <c r="M24" s="7">
        <f t="shared" si="2"/>
        <v>120.91000000000349</v>
      </c>
      <c r="N24" s="23">
        <v>96</v>
      </c>
      <c r="O24" s="8">
        <f t="shared" si="3"/>
        <v>0</v>
      </c>
      <c r="P24" s="23">
        <v>630.20000000000005</v>
      </c>
      <c r="Q24" s="23">
        <v>96</v>
      </c>
      <c r="R24" s="23">
        <v>133880.81</v>
      </c>
      <c r="S24" s="23">
        <v>0.874</v>
      </c>
      <c r="T24" s="25">
        <f t="shared" si="4"/>
        <v>0</v>
      </c>
      <c r="U24" s="26">
        <f t="shared" si="5"/>
        <v>868.91000000001441</v>
      </c>
      <c r="V24" s="35">
        <v>0</v>
      </c>
      <c r="W24" s="35">
        <v>0</v>
      </c>
      <c r="X24" s="35">
        <v>0</v>
      </c>
      <c r="Y24" s="11">
        <f t="shared" si="6"/>
        <v>0</v>
      </c>
      <c r="Z24" s="23">
        <v>6848.06</v>
      </c>
      <c r="AA24" s="8">
        <f t="shared" si="7"/>
        <v>9.1899999999995998</v>
      </c>
      <c r="AB24" s="23">
        <v>3099.48</v>
      </c>
      <c r="AC24" s="23">
        <v>95</v>
      </c>
      <c r="AD24" s="23">
        <v>20173</v>
      </c>
      <c r="AE24" s="8">
        <f t="shared" si="8"/>
        <v>42</v>
      </c>
      <c r="AF24" s="23">
        <v>1429.7</v>
      </c>
      <c r="AG24" s="23">
        <v>88</v>
      </c>
      <c r="AH24" s="36">
        <f t="shared" si="9"/>
        <v>0</v>
      </c>
      <c r="AI24" s="21">
        <f t="shared" si="10"/>
        <v>0</v>
      </c>
      <c r="AJ24" s="22">
        <f t="shared" si="11"/>
        <v>0</v>
      </c>
      <c r="AK24" s="27">
        <f t="shared" si="12"/>
        <v>920.10000000001401</v>
      </c>
      <c r="AL24" s="40">
        <f t="shared" si="13"/>
        <v>920.10000000001401</v>
      </c>
    </row>
    <row r="25" spans="1:38" ht="25.5" customHeight="1">
      <c r="A25" s="39" t="s">
        <v>314</v>
      </c>
      <c r="B25" s="23">
        <v>5186.01</v>
      </c>
      <c r="C25" s="23">
        <v>241.2</v>
      </c>
      <c r="D25" s="23">
        <v>3627.44</v>
      </c>
      <c r="E25" s="23">
        <v>495.66</v>
      </c>
      <c r="F25" s="23">
        <v>0.90500000000000003</v>
      </c>
      <c r="G25" s="23">
        <v>0</v>
      </c>
      <c r="H25" s="23">
        <v>40</v>
      </c>
      <c r="I25" s="5">
        <f t="shared" si="0"/>
        <v>0</v>
      </c>
      <c r="J25" s="6">
        <f t="shared" si="14"/>
        <v>707.60000000000218</v>
      </c>
      <c r="K25" s="23">
        <v>198554.7</v>
      </c>
      <c r="L25" s="23">
        <v>0.99199999999999999</v>
      </c>
      <c r="M25" s="7">
        <f t="shared" si="2"/>
        <v>113.45999999999185</v>
      </c>
      <c r="N25" s="23">
        <v>96</v>
      </c>
      <c r="O25" s="8">
        <f t="shared" si="3"/>
        <v>0</v>
      </c>
      <c r="P25" s="23">
        <v>632.4</v>
      </c>
      <c r="Q25" s="23">
        <v>96</v>
      </c>
      <c r="R25" s="23">
        <v>133880.81</v>
      </c>
      <c r="S25" s="23">
        <v>0.874</v>
      </c>
      <c r="T25" s="25">
        <f t="shared" si="4"/>
        <v>0</v>
      </c>
      <c r="U25" s="26">
        <f t="shared" si="5"/>
        <v>821.05999999999403</v>
      </c>
      <c r="V25" s="35">
        <v>0</v>
      </c>
      <c r="W25" s="35">
        <v>0</v>
      </c>
      <c r="X25" s="35">
        <v>0</v>
      </c>
      <c r="Y25" s="11">
        <f t="shared" si="6"/>
        <v>0</v>
      </c>
      <c r="Z25" s="23">
        <v>6857.25</v>
      </c>
      <c r="AA25" s="8">
        <f t="shared" si="7"/>
        <v>0</v>
      </c>
      <c r="AB25" s="23">
        <v>3100.97</v>
      </c>
      <c r="AC25" s="23">
        <v>75</v>
      </c>
      <c r="AD25" s="23">
        <v>20215</v>
      </c>
      <c r="AE25" s="8">
        <f t="shared" si="8"/>
        <v>0</v>
      </c>
      <c r="AF25" s="23">
        <v>1429.9</v>
      </c>
      <c r="AG25" s="23">
        <v>86</v>
      </c>
      <c r="AH25" s="36">
        <f t="shared" si="9"/>
        <v>0</v>
      </c>
      <c r="AI25" s="21">
        <f t="shared" si="10"/>
        <v>0</v>
      </c>
      <c r="AJ25" s="22">
        <f t="shared" si="11"/>
        <v>0</v>
      </c>
      <c r="AK25" s="27">
        <f t="shared" si="12"/>
        <v>821.05999999999403</v>
      </c>
      <c r="AL25" s="40">
        <f t="shared" si="13"/>
        <v>821.05999999999403</v>
      </c>
    </row>
    <row r="26" spans="1:38" ht="25.5" customHeight="1">
      <c r="A26" s="39" t="s">
        <v>315</v>
      </c>
      <c r="B26" s="23">
        <v>5204</v>
      </c>
      <c r="C26" s="23">
        <v>179.9</v>
      </c>
      <c r="D26" s="23">
        <v>3645.13</v>
      </c>
      <c r="E26" s="23">
        <v>495.66</v>
      </c>
      <c r="F26" s="23">
        <v>0.90500000000000003</v>
      </c>
      <c r="G26" s="23">
        <v>0</v>
      </c>
      <c r="H26" s="23">
        <v>40</v>
      </c>
      <c r="I26" s="5"/>
      <c r="J26" s="6"/>
      <c r="K26" s="23">
        <v>198668.16</v>
      </c>
      <c r="L26" s="23">
        <v>0.99199999999999999</v>
      </c>
      <c r="M26" s="7"/>
      <c r="N26" s="23">
        <v>96</v>
      </c>
      <c r="O26" s="8"/>
      <c r="P26" s="23">
        <v>632.4</v>
      </c>
      <c r="Q26" s="23">
        <v>96</v>
      </c>
      <c r="R26" s="23">
        <v>133880.81</v>
      </c>
      <c r="S26" s="23">
        <v>0.874</v>
      </c>
      <c r="T26" s="25"/>
      <c r="U26" s="10"/>
      <c r="V26" s="35">
        <v>0</v>
      </c>
      <c r="W26" s="35">
        <v>0</v>
      </c>
      <c r="X26" s="35">
        <v>0</v>
      </c>
      <c r="Y26" s="11">
        <f t="shared" si="6"/>
        <v>0</v>
      </c>
      <c r="Z26" s="23">
        <v>6857.25</v>
      </c>
      <c r="AA26" s="8"/>
      <c r="AB26" s="23">
        <v>3100.97</v>
      </c>
      <c r="AC26" s="23">
        <v>75</v>
      </c>
      <c r="AD26" s="23">
        <v>20215</v>
      </c>
      <c r="AE26" s="8"/>
      <c r="AF26" s="23">
        <v>1432.2</v>
      </c>
      <c r="AG26" s="23">
        <v>75</v>
      </c>
      <c r="AH26" s="36">
        <f t="shared" si="9"/>
        <v>0</v>
      </c>
      <c r="AI26" s="21">
        <f t="shared" si="10"/>
        <v>0</v>
      </c>
      <c r="AJ26" s="22"/>
      <c r="AK26" s="17"/>
      <c r="AL26" s="30"/>
    </row>
    <row r="27" spans="1:38" ht="25.5" customHeight="1">
      <c r="A27" s="39"/>
      <c r="B27" s="23"/>
      <c r="C27" s="23"/>
      <c r="D27" s="23"/>
      <c r="E27" s="23"/>
      <c r="F27" s="23"/>
      <c r="G27" s="23"/>
      <c r="H27" s="23"/>
      <c r="I27" s="5"/>
      <c r="J27" s="6"/>
      <c r="K27" s="23"/>
      <c r="L27" s="23"/>
      <c r="M27" s="7"/>
      <c r="N27" s="23"/>
      <c r="O27" s="8"/>
      <c r="P27" s="23"/>
      <c r="Q27" s="23"/>
      <c r="R27" s="23"/>
      <c r="S27" s="23"/>
      <c r="T27" s="25"/>
      <c r="U27" s="10"/>
      <c r="V27" s="35"/>
      <c r="W27" s="35"/>
      <c r="X27" s="35"/>
      <c r="Y27" s="11"/>
      <c r="Z27" s="23"/>
      <c r="AA27" s="8"/>
      <c r="AB27" s="23"/>
      <c r="AC27" s="23"/>
      <c r="AD27" s="23"/>
      <c r="AE27" s="8"/>
      <c r="AF27" s="23"/>
      <c r="AG27" s="23"/>
      <c r="AH27" s="36"/>
      <c r="AI27" s="21"/>
      <c r="AJ27" s="22"/>
      <c r="AK27" s="17"/>
      <c r="AL27" s="30"/>
    </row>
    <row r="28" spans="1:38" ht="25.5" customHeight="1">
      <c r="A28" s="39"/>
      <c r="B28" s="23"/>
      <c r="C28" s="23"/>
      <c r="D28" s="23"/>
      <c r="E28" s="23"/>
      <c r="F28" s="23"/>
      <c r="G28" s="23"/>
      <c r="H28" s="23"/>
      <c r="I28" s="5"/>
      <c r="J28" s="6"/>
      <c r="K28" s="23"/>
      <c r="L28" s="23"/>
      <c r="M28" s="7"/>
      <c r="N28" s="23"/>
      <c r="O28" s="8"/>
      <c r="P28" s="23"/>
      <c r="Q28" s="23"/>
      <c r="R28" s="23"/>
      <c r="S28" s="23"/>
      <c r="T28" s="25"/>
      <c r="U28" s="10"/>
      <c r="V28" s="35"/>
      <c r="W28" s="35"/>
      <c r="X28" s="35"/>
      <c r="Y28" s="11"/>
      <c r="Z28" s="23"/>
      <c r="AA28" s="8"/>
      <c r="AB28" s="23"/>
      <c r="AC28" s="23"/>
      <c r="AD28" s="23"/>
      <c r="AE28" s="8"/>
      <c r="AF28" s="23"/>
      <c r="AG28" s="23"/>
      <c r="AH28" s="36"/>
      <c r="AI28" s="21"/>
      <c r="AJ28" s="22"/>
      <c r="AK28" s="17"/>
      <c r="AL28" s="30"/>
    </row>
    <row r="29" spans="1:38" ht="25.5" customHeight="1">
      <c r="A29" s="39"/>
      <c r="B29" s="23"/>
      <c r="C29" s="23"/>
      <c r="D29" s="23"/>
      <c r="E29" s="23"/>
      <c r="F29" s="23"/>
      <c r="G29" s="23"/>
      <c r="H29" s="23"/>
      <c r="I29" s="5"/>
      <c r="J29" s="6"/>
      <c r="K29" s="23"/>
      <c r="L29" s="23"/>
      <c r="M29" s="7"/>
      <c r="N29" s="23"/>
      <c r="O29" s="8"/>
      <c r="P29" s="23"/>
      <c r="Q29" s="23"/>
      <c r="R29" s="23"/>
      <c r="S29" s="23"/>
      <c r="T29" s="25"/>
      <c r="U29" s="10"/>
      <c r="V29" s="35"/>
      <c r="W29" s="35"/>
      <c r="X29" s="35"/>
      <c r="Y29" s="11"/>
      <c r="Z29" s="23"/>
      <c r="AA29" s="8"/>
      <c r="AB29" s="23"/>
      <c r="AC29" s="23"/>
      <c r="AD29" s="23"/>
      <c r="AE29" s="8"/>
      <c r="AF29" s="23"/>
      <c r="AG29" s="23"/>
      <c r="AH29" s="36"/>
      <c r="AI29" s="21"/>
      <c r="AJ29" s="22"/>
      <c r="AK29" s="17"/>
      <c r="AL29" s="30"/>
    </row>
    <row r="30" spans="1:38" ht="25.5" customHeight="1">
      <c r="A30" s="41"/>
      <c r="B30" s="42"/>
      <c r="C30" s="42"/>
      <c r="D30" s="42"/>
      <c r="E30" s="42"/>
      <c r="F30" s="42"/>
      <c r="G30" s="42"/>
      <c r="H30" s="42"/>
      <c r="I30" s="5"/>
      <c r="J30" s="43"/>
      <c r="K30" s="42"/>
      <c r="L30" s="42"/>
      <c r="M30" s="7"/>
      <c r="N30" s="42"/>
      <c r="O30" s="8"/>
      <c r="P30" s="42"/>
      <c r="Q30" s="42"/>
      <c r="R30" s="42"/>
      <c r="S30" s="42"/>
      <c r="T30" s="44"/>
      <c r="U30" s="45"/>
      <c r="V30" s="32"/>
      <c r="W30" s="32"/>
      <c r="X30" s="32"/>
      <c r="Y30" s="11"/>
      <c r="Z30" s="42"/>
      <c r="AA30" s="8"/>
      <c r="AB30" s="42"/>
      <c r="AC30" s="42"/>
      <c r="AD30" s="42"/>
      <c r="AE30" s="8"/>
      <c r="AF30" s="42"/>
      <c r="AG30" s="42"/>
      <c r="AH30" s="36"/>
      <c r="AI30" s="47"/>
      <c r="AJ30" s="48"/>
      <c r="AK30" s="49"/>
      <c r="AL30" s="50"/>
    </row>
    <row r="31" spans="1:38">
      <c r="Y31" s="11"/>
    </row>
    <row r="32" spans="1:38">
      <c r="Y32" s="11"/>
    </row>
    <row r="33" spans="25:25">
      <c r="Y33" s="11"/>
    </row>
    <row r="34" spans="25:25">
      <c r="Y34" s="11"/>
    </row>
    <row r="35" spans="25:25">
      <c r="Y35" s="11"/>
    </row>
    <row r="36" spans="25:25">
      <c r="Y36" s="11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36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5.85546875" customWidth="1"/>
  </cols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37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39" t="s">
        <v>315</v>
      </c>
      <c r="B3" s="23">
        <v>5204</v>
      </c>
      <c r="C3" s="23">
        <v>179.9</v>
      </c>
      <c r="D3" s="23">
        <v>3645.13</v>
      </c>
      <c r="E3" s="23">
        <v>495.66</v>
      </c>
      <c r="F3" s="23">
        <v>0.90500000000000003</v>
      </c>
      <c r="G3" s="23">
        <v>0</v>
      </c>
      <c r="H3" s="23">
        <v>40</v>
      </c>
      <c r="I3" s="5">
        <f t="shared" ref="I3:I11" si="0">(E4-E3)*40</f>
        <v>0</v>
      </c>
      <c r="J3" s="6">
        <f t="shared" ref="J3:J14" si="1">(D4-D3)*40</f>
        <v>786.39999999999418</v>
      </c>
      <c r="K3" s="23">
        <v>198668.16</v>
      </c>
      <c r="L3" s="23">
        <v>0.99199999999999999</v>
      </c>
      <c r="M3" s="7">
        <f t="shared" ref="M3:M11" si="2">(K4-K3)</f>
        <v>138.88000000000466</v>
      </c>
      <c r="N3" s="23">
        <v>96</v>
      </c>
      <c r="O3" s="8">
        <f t="shared" ref="O3:O11" si="3">(N4-N3)</f>
        <v>0</v>
      </c>
      <c r="P3" s="23">
        <v>632.4</v>
      </c>
      <c r="Q3" s="23">
        <v>96</v>
      </c>
      <c r="R3" s="23">
        <v>133880.81</v>
      </c>
      <c r="S3" s="23">
        <v>0.874</v>
      </c>
      <c r="T3" s="25">
        <f t="shared" ref="T3:T11" si="4">(R4-R3)</f>
        <v>0</v>
      </c>
      <c r="U3" s="26">
        <f t="shared" ref="U3:U11" si="5">(J3+M3+O3+T3)</f>
        <v>925.27999999999884</v>
      </c>
      <c r="V3" s="35">
        <v>0</v>
      </c>
      <c r="W3" s="35">
        <v>0</v>
      </c>
      <c r="X3" s="35">
        <v>0</v>
      </c>
      <c r="Y3" s="11">
        <f t="shared" ref="Y3:Y11" si="6">SUM(V3:X3)</f>
        <v>0</v>
      </c>
      <c r="Z3" s="23">
        <v>6857.25</v>
      </c>
      <c r="AA3" s="8">
        <f t="shared" ref="AA3:AA11" si="7">(Z4-Z3)</f>
        <v>0</v>
      </c>
      <c r="AB3" s="23">
        <v>3100.97</v>
      </c>
      <c r="AC3" s="23">
        <v>75</v>
      </c>
      <c r="AD3" s="23">
        <v>20215</v>
      </c>
      <c r="AE3" s="8">
        <f t="shared" ref="AE3:AE11" si="8">(AD4-AD3)</f>
        <v>1</v>
      </c>
      <c r="AF3" s="23">
        <v>1432.2</v>
      </c>
      <c r="AG3" s="23">
        <v>75</v>
      </c>
      <c r="AH3" s="36">
        <f t="shared" ref="AH3:AH26" si="9">Y3</f>
        <v>0</v>
      </c>
      <c r="AI3" s="21">
        <f t="shared" ref="AI3:AI26" si="10">I3</f>
        <v>0</v>
      </c>
      <c r="AJ3" s="22">
        <f t="shared" ref="AJ3:AJ11" si="11">(AH3-AI3)</f>
        <v>0</v>
      </c>
      <c r="AK3" s="27">
        <f t="shared" ref="AK3:AK11" si="12">(U3+AA3+AE3)</f>
        <v>926.27999999999884</v>
      </c>
      <c r="AL3" s="40">
        <f t="shared" ref="AL3:AL11" si="13">(AJ3+AK3)</f>
        <v>926.27999999999884</v>
      </c>
    </row>
    <row r="4" spans="1:38" ht="25.5" customHeight="1">
      <c r="A4" s="39" t="s">
        <v>316</v>
      </c>
      <c r="B4" s="23">
        <v>5220.59</v>
      </c>
      <c r="C4" s="23">
        <v>165.9</v>
      </c>
      <c r="D4" s="23">
        <v>3664.79</v>
      </c>
      <c r="E4" s="23">
        <v>495.66</v>
      </c>
      <c r="F4" s="23">
        <v>0.90500000000000003</v>
      </c>
      <c r="G4" s="23">
        <v>0</v>
      </c>
      <c r="H4" s="23">
        <v>40</v>
      </c>
      <c r="I4" s="5">
        <f t="shared" si="0"/>
        <v>0</v>
      </c>
      <c r="J4" s="6">
        <f t="shared" si="1"/>
        <v>807.99999999999272</v>
      </c>
      <c r="K4" s="23">
        <v>198807.04000000001</v>
      </c>
      <c r="L4" s="23">
        <v>0.99199999999999999</v>
      </c>
      <c r="M4" s="7">
        <f t="shared" si="2"/>
        <v>137.03999999997905</v>
      </c>
      <c r="N4" s="23">
        <v>96</v>
      </c>
      <c r="O4" s="8">
        <f t="shared" si="3"/>
        <v>0</v>
      </c>
      <c r="P4" s="23">
        <v>632.4</v>
      </c>
      <c r="Q4" s="23">
        <v>82</v>
      </c>
      <c r="R4" s="23">
        <v>133880.81</v>
      </c>
      <c r="S4" s="23">
        <v>0.879</v>
      </c>
      <c r="T4" s="25">
        <f t="shared" si="4"/>
        <v>0</v>
      </c>
      <c r="U4" s="26">
        <f t="shared" si="5"/>
        <v>945.03999999997177</v>
      </c>
      <c r="V4" s="35">
        <v>0</v>
      </c>
      <c r="W4" s="35">
        <v>0</v>
      </c>
      <c r="X4" s="35">
        <v>0</v>
      </c>
      <c r="Y4" s="11">
        <f t="shared" si="6"/>
        <v>0</v>
      </c>
      <c r="Z4" s="23">
        <v>6857.25</v>
      </c>
      <c r="AA4" s="8">
        <f t="shared" si="7"/>
        <v>0</v>
      </c>
      <c r="AB4" s="23">
        <v>3100.97</v>
      </c>
      <c r="AC4" s="23">
        <v>75</v>
      </c>
      <c r="AD4" s="23">
        <v>20216</v>
      </c>
      <c r="AE4" s="8">
        <f t="shared" si="8"/>
        <v>0</v>
      </c>
      <c r="AF4" s="23">
        <v>1432.2</v>
      </c>
      <c r="AG4" s="23">
        <v>71</v>
      </c>
      <c r="AH4" s="36">
        <f t="shared" si="9"/>
        <v>0</v>
      </c>
      <c r="AI4" s="21">
        <f t="shared" si="10"/>
        <v>0</v>
      </c>
      <c r="AJ4" s="22">
        <f t="shared" si="11"/>
        <v>0</v>
      </c>
      <c r="AK4" s="27">
        <f t="shared" si="12"/>
        <v>945.03999999997177</v>
      </c>
      <c r="AL4" s="40">
        <f t="shared" si="13"/>
        <v>945.03999999997177</v>
      </c>
    </row>
    <row r="5" spans="1:38" ht="25.5" customHeight="1">
      <c r="A5" s="39" t="s">
        <v>317</v>
      </c>
      <c r="B5" s="23">
        <v>5239.5</v>
      </c>
      <c r="C5" s="23">
        <v>189.1</v>
      </c>
      <c r="D5" s="23">
        <v>3684.99</v>
      </c>
      <c r="E5" s="23">
        <v>495.66</v>
      </c>
      <c r="F5" s="23">
        <v>0.90500000000000003</v>
      </c>
      <c r="G5" s="23">
        <v>0</v>
      </c>
      <c r="H5" s="23">
        <v>40</v>
      </c>
      <c r="I5" s="5">
        <f t="shared" si="0"/>
        <v>0</v>
      </c>
      <c r="J5" s="6">
        <f t="shared" si="1"/>
        <v>1154.0000000000146</v>
      </c>
      <c r="K5" s="23">
        <v>198944.08</v>
      </c>
      <c r="L5" s="23">
        <v>0.99199999999999999</v>
      </c>
      <c r="M5" s="7">
        <f t="shared" si="2"/>
        <v>186.16000000000349</v>
      </c>
      <c r="N5" s="23">
        <v>96</v>
      </c>
      <c r="O5" s="8">
        <f t="shared" si="3"/>
        <v>0</v>
      </c>
      <c r="P5" s="23">
        <v>632.4</v>
      </c>
      <c r="Q5" s="23">
        <v>79</v>
      </c>
      <c r="R5" s="23">
        <v>133880.81</v>
      </c>
      <c r="S5" s="23">
        <v>0.879</v>
      </c>
      <c r="T5" s="25">
        <f t="shared" si="4"/>
        <v>0</v>
      </c>
      <c r="U5" s="26">
        <f t="shared" si="5"/>
        <v>1340.160000000018</v>
      </c>
      <c r="V5" s="35">
        <v>0</v>
      </c>
      <c r="W5" s="35">
        <v>0</v>
      </c>
      <c r="X5" s="35">
        <v>0</v>
      </c>
      <c r="Y5" s="11">
        <f t="shared" si="6"/>
        <v>0</v>
      </c>
      <c r="Z5" s="23">
        <v>6857.25</v>
      </c>
      <c r="AA5" s="8">
        <f t="shared" si="7"/>
        <v>9.930000000000291</v>
      </c>
      <c r="AB5" s="23">
        <v>3100.97</v>
      </c>
      <c r="AC5" s="23">
        <v>73</v>
      </c>
      <c r="AD5" s="23">
        <v>20216</v>
      </c>
      <c r="AE5" s="8">
        <f t="shared" si="8"/>
        <v>164</v>
      </c>
      <c r="AF5" s="23">
        <v>1432.2</v>
      </c>
      <c r="AG5" s="23">
        <v>70</v>
      </c>
      <c r="AH5" s="36">
        <f t="shared" si="9"/>
        <v>0</v>
      </c>
      <c r="AI5" s="21">
        <f t="shared" si="10"/>
        <v>0</v>
      </c>
      <c r="AJ5" s="22">
        <f t="shared" si="11"/>
        <v>0</v>
      </c>
      <c r="AK5" s="27">
        <f t="shared" si="12"/>
        <v>1514.0900000000183</v>
      </c>
      <c r="AL5" s="40">
        <f t="shared" si="13"/>
        <v>1514.0900000000183</v>
      </c>
    </row>
    <row r="6" spans="1:38" ht="25.5" customHeight="1">
      <c r="A6" s="39" t="s">
        <v>318</v>
      </c>
      <c r="B6" s="23">
        <v>5312.62</v>
      </c>
      <c r="C6" s="23"/>
      <c r="D6" s="23">
        <v>3713.84</v>
      </c>
      <c r="E6" s="23">
        <v>495.66</v>
      </c>
      <c r="F6" s="23">
        <v>0.91900000000000004</v>
      </c>
      <c r="G6" s="23">
        <v>0</v>
      </c>
      <c r="H6" s="23">
        <v>40</v>
      </c>
      <c r="I6" s="5">
        <f t="shared" si="0"/>
        <v>0</v>
      </c>
      <c r="J6" s="6">
        <f t="shared" si="1"/>
        <v>639.20000000000073</v>
      </c>
      <c r="K6" s="23">
        <v>199130.23999999999</v>
      </c>
      <c r="L6" s="23">
        <v>0.99199999999999999</v>
      </c>
      <c r="M6" s="7">
        <f t="shared" si="2"/>
        <v>188.90000000002328</v>
      </c>
      <c r="N6" s="23">
        <v>96</v>
      </c>
      <c r="O6" s="8">
        <f t="shared" si="3"/>
        <v>2</v>
      </c>
      <c r="P6" s="23">
        <v>637.29999999999995</v>
      </c>
      <c r="Q6" s="23">
        <v>100</v>
      </c>
      <c r="R6" s="23">
        <v>133880.81</v>
      </c>
      <c r="S6" s="23">
        <v>0.879</v>
      </c>
      <c r="T6" s="25">
        <f t="shared" si="4"/>
        <v>0</v>
      </c>
      <c r="U6" s="26">
        <f t="shared" si="5"/>
        <v>830.10000000002401</v>
      </c>
      <c r="V6" s="35">
        <v>0</v>
      </c>
      <c r="W6" s="35">
        <v>0</v>
      </c>
      <c r="X6" s="35">
        <v>0</v>
      </c>
      <c r="Y6" s="11">
        <f t="shared" si="6"/>
        <v>0</v>
      </c>
      <c r="Z6" s="23">
        <v>6867.18</v>
      </c>
      <c r="AA6" s="8">
        <f t="shared" si="7"/>
        <v>0</v>
      </c>
      <c r="AB6" s="23">
        <v>3103.08</v>
      </c>
      <c r="AC6" s="23">
        <v>100</v>
      </c>
      <c r="AD6" s="23">
        <v>20380</v>
      </c>
      <c r="AE6" s="8">
        <f t="shared" si="8"/>
        <v>4</v>
      </c>
      <c r="AF6" s="23">
        <v>1440.6</v>
      </c>
      <c r="AG6" s="23">
        <v>100</v>
      </c>
      <c r="AH6" s="36">
        <f t="shared" si="9"/>
        <v>0</v>
      </c>
      <c r="AI6" s="21">
        <f t="shared" si="10"/>
        <v>0</v>
      </c>
      <c r="AJ6" s="22">
        <f t="shared" si="11"/>
        <v>0</v>
      </c>
      <c r="AK6" s="27">
        <f t="shared" si="12"/>
        <v>834.10000000002401</v>
      </c>
      <c r="AL6" s="40">
        <f t="shared" si="13"/>
        <v>834.10000000002401</v>
      </c>
    </row>
    <row r="7" spans="1:38" ht="25.5" customHeight="1">
      <c r="A7" s="39" t="s">
        <v>319</v>
      </c>
      <c r="B7" s="23">
        <v>5355.77</v>
      </c>
      <c r="C7" s="23"/>
      <c r="D7" s="23">
        <v>3729.82</v>
      </c>
      <c r="E7" s="23">
        <v>495.66</v>
      </c>
      <c r="F7" s="23">
        <v>0.91600000000000004</v>
      </c>
      <c r="G7" s="23">
        <v>0</v>
      </c>
      <c r="H7" s="23">
        <v>40</v>
      </c>
      <c r="I7" s="5">
        <f t="shared" si="0"/>
        <v>0</v>
      </c>
      <c r="J7" s="6">
        <f t="shared" si="1"/>
        <v>886.79999999998472</v>
      </c>
      <c r="K7" s="23">
        <v>199319.14</v>
      </c>
      <c r="L7" s="23">
        <v>0.99299999999999999</v>
      </c>
      <c r="M7" s="7">
        <f t="shared" si="2"/>
        <v>128.71999999997206</v>
      </c>
      <c r="N7" s="23">
        <v>98</v>
      </c>
      <c r="O7" s="8">
        <f t="shared" si="3"/>
        <v>0</v>
      </c>
      <c r="P7" s="23">
        <v>637.29999999999995</v>
      </c>
      <c r="Q7" s="23">
        <v>100</v>
      </c>
      <c r="R7" s="23">
        <v>133880.81</v>
      </c>
      <c r="S7" s="23">
        <v>0.879</v>
      </c>
      <c r="T7" s="25">
        <f t="shared" si="4"/>
        <v>0</v>
      </c>
      <c r="U7" s="26">
        <f t="shared" si="5"/>
        <v>1015.5199999999568</v>
      </c>
      <c r="V7" s="35">
        <v>0</v>
      </c>
      <c r="W7" s="35">
        <v>0</v>
      </c>
      <c r="X7" s="35">
        <v>0</v>
      </c>
      <c r="Y7" s="11">
        <f t="shared" si="6"/>
        <v>0</v>
      </c>
      <c r="Z7" s="23">
        <v>6867.18</v>
      </c>
      <c r="AA7" s="8">
        <f t="shared" si="7"/>
        <v>0</v>
      </c>
      <c r="AB7" s="23">
        <v>3103.09</v>
      </c>
      <c r="AC7" s="23">
        <v>100</v>
      </c>
      <c r="AD7" s="23">
        <v>20384</v>
      </c>
      <c r="AE7" s="8">
        <f t="shared" si="8"/>
        <v>54</v>
      </c>
      <c r="AF7" s="23">
        <v>1440.6</v>
      </c>
      <c r="AG7" s="23">
        <v>100</v>
      </c>
      <c r="AH7" s="36">
        <f t="shared" si="9"/>
        <v>0</v>
      </c>
      <c r="AI7" s="21">
        <f t="shared" si="10"/>
        <v>0</v>
      </c>
      <c r="AJ7" s="22">
        <f t="shared" si="11"/>
        <v>0</v>
      </c>
      <c r="AK7" s="27">
        <f t="shared" si="12"/>
        <v>1069.5199999999568</v>
      </c>
      <c r="AL7" s="40">
        <f t="shared" si="13"/>
        <v>1069.5199999999568</v>
      </c>
    </row>
    <row r="8" spans="1:38" ht="25.5" customHeight="1">
      <c r="A8" s="39" t="s">
        <v>320</v>
      </c>
      <c r="B8" s="35">
        <v>5396.48</v>
      </c>
      <c r="C8" s="35"/>
      <c r="D8" s="23">
        <v>3751.99</v>
      </c>
      <c r="E8" s="23">
        <v>495.66</v>
      </c>
      <c r="F8" s="23">
        <v>0.97099999999999997</v>
      </c>
      <c r="G8" s="23">
        <v>0</v>
      </c>
      <c r="H8" s="23">
        <v>40</v>
      </c>
      <c r="I8" s="5">
        <f t="shared" si="0"/>
        <v>0</v>
      </c>
      <c r="J8" s="6">
        <f t="shared" si="1"/>
        <v>694.00000000001455</v>
      </c>
      <c r="K8" s="23">
        <v>199447.86</v>
      </c>
      <c r="L8" s="23">
        <v>0.99299999999999999</v>
      </c>
      <c r="M8" s="7">
        <f t="shared" si="2"/>
        <v>134.90000000002328</v>
      </c>
      <c r="N8" s="23">
        <v>98</v>
      </c>
      <c r="O8" s="8">
        <f t="shared" si="3"/>
        <v>0</v>
      </c>
      <c r="P8" s="23">
        <v>637.6</v>
      </c>
      <c r="Q8" s="23">
        <v>97</v>
      </c>
      <c r="R8" s="23">
        <v>133880.81</v>
      </c>
      <c r="S8" s="23">
        <v>0.879</v>
      </c>
      <c r="T8" s="25">
        <f t="shared" si="4"/>
        <v>0</v>
      </c>
      <c r="U8" s="26">
        <f t="shared" si="5"/>
        <v>828.90000000003783</v>
      </c>
      <c r="V8" s="35">
        <v>0</v>
      </c>
      <c r="W8" s="35">
        <v>0</v>
      </c>
      <c r="X8" s="35">
        <v>0</v>
      </c>
      <c r="Y8" s="11">
        <f t="shared" si="6"/>
        <v>0</v>
      </c>
      <c r="Z8" s="23">
        <v>6867.18</v>
      </c>
      <c r="AA8" s="8">
        <f t="shared" si="7"/>
        <v>0.2999999999992724</v>
      </c>
      <c r="AB8" s="23">
        <v>3103.09</v>
      </c>
      <c r="AC8" s="23">
        <v>99</v>
      </c>
      <c r="AD8" s="23">
        <v>20438</v>
      </c>
      <c r="AE8" s="8">
        <f t="shared" si="8"/>
        <v>30</v>
      </c>
      <c r="AF8" s="23">
        <v>1443</v>
      </c>
      <c r="AG8" s="23">
        <v>89</v>
      </c>
      <c r="AH8" s="36">
        <f t="shared" si="9"/>
        <v>0</v>
      </c>
      <c r="AI8" s="21">
        <f t="shared" si="10"/>
        <v>0</v>
      </c>
      <c r="AJ8" s="22">
        <f t="shared" si="11"/>
        <v>0</v>
      </c>
      <c r="AK8" s="27">
        <f t="shared" si="12"/>
        <v>859.20000000003711</v>
      </c>
      <c r="AL8" s="40">
        <f t="shared" si="13"/>
        <v>859.20000000003711</v>
      </c>
    </row>
    <row r="9" spans="1:38" ht="25.5" customHeight="1">
      <c r="A9" s="39" t="s">
        <v>321</v>
      </c>
      <c r="B9" s="35">
        <v>5412.02</v>
      </c>
      <c r="C9" s="35"/>
      <c r="D9" s="23">
        <v>3769.34</v>
      </c>
      <c r="E9" s="23">
        <v>495.66</v>
      </c>
      <c r="F9" s="23">
        <v>0.97099999999999997</v>
      </c>
      <c r="G9" s="23">
        <v>0</v>
      </c>
      <c r="H9" s="23">
        <v>40</v>
      </c>
      <c r="I9" s="5">
        <f t="shared" si="0"/>
        <v>0</v>
      </c>
      <c r="J9" s="6">
        <f t="shared" si="1"/>
        <v>813.99999999999636</v>
      </c>
      <c r="K9" s="23">
        <v>199582.76</v>
      </c>
      <c r="L9" s="23">
        <v>0.99299999999999999</v>
      </c>
      <c r="M9" s="7">
        <f t="shared" si="2"/>
        <v>132.10999999998603</v>
      </c>
      <c r="N9" s="23">
        <v>98</v>
      </c>
      <c r="O9" s="8">
        <f t="shared" si="3"/>
        <v>0</v>
      </c>
      <c r="P9" s="23">
        <v>637.6</v>
      </c>
      <c r="Q9" s="23">
        <v>96</v>
      </c>
      <c r="R9" s="23">
        <v>133880.81</v>
      </c>
      <c r="S9" s="23">
        <v>0.879</v>
      </c>
      <c r="T9" s="25">
        <f t="shared" si="4"/>
        <v>0</v>
      </c>
      <c r="U9" s="26">
        <f t="shared" si="5"/>
        <v>946.10999999998239</v>
      </c>
      <c r="V9" s="35">
        <v>0</v>
      </c>
      <c r="W9" s="35">
        <v>0</v>
      </c>
      <c r="X9" s="35">
        <v>0</v>
      </c>
      <c r="Y9" s="11">
        <f t="shared" si="6"/>
        <v>0</v>
      </c>
      <c r="Z9" s="23">
        <v>6867.48</v>
      </c>
      <c r="AA9" s="8">
        <f t="shared" si="7"/>
        <v>0</v>
      </c>
      <c r="AB9" s="23">
        <v>3103.16</v>
      </c>
      <c r="AC9" s="23">
        <v>99</v>
      </c>
      <c r="AD9" s="23">
        <v>20468</v>
      </c>
      <c r="AE9" s="8">
        <f t="shared" si="8"/>
        <v>0</v>
      </c>
      <c r="AF9" s="23">
        <v>1444.4</v>
      </c>
      <c r="AG9" s="23">
        <v>82</v>
      </c>
      <c r="AH9" s="36">
        <f t="shared" si="9"/>
        <v>0</v>
      </c>
      <c r="AI9" s="21">
        <f t="shared" si="10"/>
        <v>0</v>
      </c>
      <c r="AJ9" s="22">
        <f t="shared" si="11"/>
        <v>0</v>
      </c>
      <c r="AK9" s="27">
        <f t="shared" si="12"/>
        <v>946.10999999998239</v>
      </c>
      <c r="AL9" s="40">
        <f t="shared" si="13"/>
        <v>946.10999999998239</v>
      </c>
    </row>
    <row r="10" spans="1:38" ht="25.5" customHeight="1">
      <c r="A10" s="39" t="s">
        <v>322</v>
      </c>
      <c r="B10" s="35">
        <v>5433.8</v>
      </c>
      <c r="C10" s="35"/>
      <c r="D10" s="23">
        <v>3789.69</v>
      </c>
      <c r="E10" s="23">
        <v>495.66</v>
      </c>
      <c r="F10" s="23">
        <v>0.97099999999999997</v>
      </c>
      <c r="G10" s="23">
        <v>0</v>
      </c>
      <c r="H10" s="23">
        <v>40</v>
      </c>
      <c r="I10" s="5">
        <f t="shared" si="0"/>
        <v>0</v>
      </c>
      <c r="J10" s="6">
        <f t="shared" si="1"/>
        <v>899.59999999999127</v>
      </c>
      <c r="K10" s="23">
        <v>199714.87</v>
      </c>
      <c r="L10" s="23">
        <v>0.99299999999999999</v>
      </c>
      <c r="M10" s="7">
        <f t="shared" si="2"/>
        <v>152.92999999999302</v>
      </c>
      <c r="N10" s="23">
        <v>98</v>
      </c>
      <c r="O10" s="8">
        <f t="shared" si="3"/>
        <v>0</v>
      </c>
      <c r="P10" s="23">
        <v>638.6</v>
      </c>
      <c r="Q10" s="23">
        <v>96</v>
      </c>
      <c r="R10" s="23">
        <v>133880.81</v>
      </c>
      <c r="S10" s="23">
        <v>0.879</v>
      </c>
      <c r="T10" s="25">
        <f t="shared" si="4"/>
        <v>0</v>
      </c>
      <c r="U10" s="26">
        <f t="shared" si="5"/>
        <v>1052.5299999999843</v>
      </c>
      <c r="V10" s="35">
        <v>0</v>
      </c>
      <c r="W10" s="35">
        <v>0</v>
      </c>
      <c r="X10" s="35">
        <v>0</v>
      </c>
      <c r="Y10" s="11">
        <f t="shared" si="6"/>
        <v>0</v>
      </c>
      <c r="Z10" s="23">
        <v>6867.48</v>
      </c>
      <c r="AA10" s="8">
        <f t="shared" si="7"/>
        <v>0</v>
      </c>
      <c r="AB10" s="23">
        <v>3103.17</v>
      </c>
      <c r="AC10" s="23">
        <v>99</v>
      </c>
      <c r="AD10" s="23">
        <v>20468</v>
      </c>
      <c r="AE10" s="8">
        <f t="shared" si="8"/>
        <v>0</v>
      </c>
      <c r="AF10" s="23">
        <v>1444.4</v>
      </c>
      <c r="AG10" s="23">
        <v>81</v>
      </c>
      <c r="AH10" s="36">
        <f t="shared" si="9"/>
        <v>0</v>
      </c>
      <c r="AI10" s="21">
        <f t="shared" si="10"/>
        <v>0</v>
      </c>
      <c r="AJ10" s="22">
        <f t="shared" si="11"/>
        <v>0</v>
      </c>
      <c r="AK10" s="27">
        <f t="shared" si="12"/>
        <v>1052.5299999999843</v>
      </c>
      <c r="AL10" s="40">
        <f t="shared" si="13"/>
        <v>1052.5299999999843</v>
      </c>
    </row>
    <row r="11" spans="1:38" ht="25.5" customHeight="1">
      <c r="A11" s="39" t="s">
        <v>323</v>
      </c>
      <c r="B11" s="35">
        <v>5459.39</v>
      </c>
      <c r="C11" s="35"/>
      <c r="D11" s="23">
        <v>3812.18</v>
      </c>
      <c r="E11" s="23">
        <v>495.66</v>
      </c>
      <c r="F11" s="23">
        <v>0.97099999999999997</v>
      </c>
      <c r="G11" s="23">
        <v>0</v>
      </c>
      <c r="H11" s="23">
        <v>40</v>
      </c>
      <c r="I11" s="5">
        <f t="shared" si="0"/>
        <v>0</v>
      </c>
      <c r="J11" s="6">
        <f t="shared" si="1"/>
        <v>970.79999999999927</v>
      </c>
      <c r="K11" s="23">
        <v>199867.8</v>
      </c>
      <c r="L11" s="23">
        <v>0.99299999999999999</v>
      </c>
      <c r="M11" s="7">
        <f t="shared" si="2"/>
        <v>120.80000000001746</v>
      </c>
      <c r="N11" s="23">
        <v>98</v>
      </c>
      <c r="O11" s="8">
        <f t="shared" si="3"/>
        <v>0</v>
      </c>
      <c r="P11" s="23">
        <v>638.6</v>
      </c>
      <c r="Q11" s="23">
        <v>96</v>
      </c>
      <c r="R11" s="23">
        <v>133880.81</v>
      </c>
      <c r="S11" s="23">
        <v>0.879</v>
      </c>
      <c r="T11" s="25">
        <f t="shared" si="4"/>
        <v>0</v>
      </c>
      <c r="U11" s="26">
        <f t="shared" si="5"/>
        <v>1091.6000000000167</v>
      </c>
      <c r="V11" s="35">
        <v>0</v>
      </c>
      <c r="W11" s="35">
        <v>0</v>
      </c>
      <c r="X11" s="35">
        <v>0</v>
      </c>
      <c r="Y11" s="11">
        <f t="shared" si="6"/>
        <v>0</v>
      </c>
      <c r="Z11" s="23">
        <v>6867.48</v>
      </c>
      <c r="AA11" s="8">
        <f t="shared" si="7"/>
        <v>0</v>
      </c>
      <c r="AB11" s="23">
        <v>3103.17</v>
      </c>
      <c r="AC11" s="23">
        <v>99</v>
      </c>
      <c r="AD11" s="23">
        <v>20468</v>
      </c>
      <c r="AE11" s="8">
        <f t="shared" si="8"/>
        <v>0</v>
      </c>
      <c r="AF11" s="23">
        <v>1444.4</v>
      </c>
      <c r="AG11" s="23">
        <v>82</v>
      </c>
      <c r="AH11" s="36">
        <f t="shared" si="9"/>
        <v>0</v>
      </c>
      <c r="AI11" s="21">
        <f t="shared" si="10"/>
        <v>0</v>
      </c>
      <c r="AJ11" s="22">
        <f t="shared" si="11"/>
        <v>0</v>
      </c>
      <c r="AK11" s="27">
        <f t="shared" si="12"/>
        <v>1091.6000000000167</v>
      </c>
      <c r="AL11" s="40">
        <f t="shared" si="13"/>
        <v>1091.6000000000167</v>
      </c>
    </row>
    <row r="12" spans="1:38" ht="25.5" customHeight="1">
      <c r="A12" s="39" t="s">
        <v>324</v>
      </c>
      <c r="B12" s="35">
        <v>5495.85</v>
      </c>
      <c r="C12" s="35"/>
      <c r="D12" s="23">
        <v>3836.45</v>
      </c>
      <c r="E12" s="23">
        <v>495.66</v>
      </c>
      <c r="F12" s="23">
        <v>0.97099999999999997</v>
      </c>
      <c r="G12" s="23">
        <v>0</v>
      </c>
      <c r="H12" s="23">
        <v>40</v>
      </c>
      <c r="I12" s="5"/>
      <c r="J12" s="6">
        <f t="shared" si="1"/>
        <v>693.60000000000582</v>
      </c>
      <c r="K12" s="23">
        <v>199988.6</v>
      </c>
      <c r="L12" s="23">
        <v>0.99299999999999999</v>
      </c>
      <c r="M12" s="7"/>
      <c r="N12" s="23">
        <v>98</v>
      </c>
      <c r="O12" s="8"/>
      <c r="P12" s="23">
        <v>638.6</v>
      </c>
      <c r="Q12" s="23">
        <v>96</v>
      </c>
      <c r="R12" s="23">
        <v>133880.81</v>
      </c>
      <c r="S12" s="23">
        <v>0.879</v>
      </c>
      <c r="T12" s="25"/>
      <c r="U12" s="10"/>
      <c r="V12" s="35"/>
      <c r="W12" s="35"/>
      <c r="X12" s="35"/>
      <c r="Y12" s="11"/>
      <c r="Z12" s="23">
        <v>6867.48</v>
      </c>
      <c r="AA12" s="8"/>
      <c r="AB12" s="23">
        <v>3103.28</v>
      </c>
      <c r="AC12" s="23">
        <v>97</v>
      </c>
      <c r="AD12" s="23">
        <v>20468</v>
      </c>
      <c r="AE12" s="8"/>
      <c r="AF12" s="23">
        <v>1444.4</v>
      </c>
      <c r="AG12" s="23">
        <v>78</v>
      </c>
      <c r="AH12" s="36">
        <f t="shared" si="9"/>
        <v>0</v>
      </c>
      <c r="AI12" s="21">
        <f t="shared" si="10"/>
        <v>0</v>
      </c>
      <c r="AJ12" s="22"/>
      <c r="AK12" s="17"/>
      <c r="AL12" s="30"/>
    </row>
    <row r="13" spans="1:38" ht="25.5" customHeight="1">
      <c r="A13" s="39" t="s">
        <v>325</v>
      </c>
      <c r="B13" s="35">
        <v>5513.78</v>
      </c>
      <c r="C13" s="35"/>
      <c r="D13" s="23">
        <v>3853.79</v>
      </c>
      <c r="E13" s="23"/>
      <c r="F13" s="23"/>
      <c r="G13" s="23"/>
      <c r="H13" s="23"/>
      <c r="I13" s="5"/>
      <c r="J13" s="6">
        <f t="shared" si="1"/>
        <v>3970</v>
      </c>
      <c r="K13" s="23"/>
      <c r="L13" s="23"/>
      <c r="M13" s="7"/>
      <c r="N13" s="23"/>
      <c r="O13" s="8"/>
      <c r="P13" s="23"/>
      <c r="Q13" s="23"/>
      <c r="R13" s="23"/>
      <c r="S13" s="23"/>
      <c r="T13" s="25"/>
      <c r="U13" s="10"/>
      <c r="V13" s="35"/>
      <c r="W13" s="35"/>
      <c r="X13" s="35"/>
      <c r="Y13" s="11"/>
      <c r="Z13" s="23"/>
      <c r="AA13" s="8"/>
      <c r="AB13" s="23"/>
      <c r="AC13" s="23"/>
      <c r="AD13" s="23"/>
      <c r="AE13" s="8"/>
      <c r="AF13" s="23"/>
      <c r="AG13" s="23"/>
      <c r="AH13" s="36">
        <f t="shared" si="9"/>
        <v>0</v>
      </c>
      <c r="AI13" s="21">
        <f t="shared" si="10"/>
        <v>0</v>
      </c>
      <c r="AJ13" s="22"/>
      <c r="AK13" s="17"/>
      <c r="AL13" s="30"/>
    </row>
    <row r="14" spans="1:38" ht="25.5" customHeight="1">
      <c r="A14" s="39" t="s">
        <v>326</v>
      </c>
      <c r="B14" s="23">
        <v>5535.15</v>
      </c>
      <c r="C14" s="23"/>
      <c r="D14" s="23">
        <v>3953.04</v>
      </c>
      <c r="E14" s="23"/>
      <c r="F14" s="23"/>
      <c r="G14" s="23"/>
      <c r="H14" s="23"/>
      <c r="I14" s="5"/>
      <c r="J14" s="6">
        <f t="shared" si="1"/>
        <v>-1655.5999999999949</v>
      </c>
      <c r="K14" s="23"/>
      <c r="L14" s="23"/>
      <c r="M14" s="7"/>
      <c r="N14" s="23"/>
      <c r="O14" s="8"/>
      <c r="P14" s="23"/>
      <c r="Q14" s="23"/>
      <c r="R14" s="23"/>
      <c r="S14" s="23"/>
      <c r="T14" s="25"/>
      <c r="U14" s="10"/>
      <c r="V14" s="35"/>
      <c r="W14" s="35"/>
      <c r="X14" s="35"/>
      <c r="Y14" s="11"/>
      <c r="Z14" s="23"/>
      <c r="AA14" s="8"/>
      <c r="AB14" s="23"/>
      <c r="AC14" s="23"/>
      <c r="AD14" s="23"/>
      <c r="AE14" s="8"/>
      <c r="AF14" s="23"/>
      <c r="AG14" s="23"/>
      <c r="AH14" s="36">
        <f t="shared" si="9"/>
        <v>0</v>
      </c>
      <c r="AI14" s="21">
        <f t="shared" si="10"/>
        <v>0</v>
      </c>
      <c r="AJ14" s="22"/>
      <c r="AK14" s="17"/>
      <c r="AL14" s="30"/>
    </row>
    <row r="15" spans="1:38" ht="25.5" customHeight="1">
      <c r="A15" s="39" t="s">
        <v>327</v>
      </c>
      <c r="B15" s="23">
        <v>5557.85</v>
      </c>
      <c r="C15" s="23"/>
      <c r="D15" s="23">
        <v>3911.65</v>
      </c>
      <c r="E15" s="23"/>
      <c r="F15" s="23"/>
      <c r="G15" s="23"/>
      <c r="H15" s="23"/>
      <c r="I15" s="5"/>
      <c r="J15" s="6"/>
      <c r="K15" s="23"/>
      <c r="L15" s="23"/>
      <c r="M15" s="7"/>
      <c r="N15" s="23"/>
      <c r="O15" s="8"/>
      <c r="P15" s="23"/>
      <c r="Q15" s="23"/>
      <c r="R15" s="23"/>
      <c r="S15" s="23"/>
      <c r="T15" s="25"/>
      <c r="U15" s="10"/>
      <c r="V15" s="35"/>
      <c r="W15" s="35"/>
      <c r="X15" s="35"/>
      <c r="Y15" s="11"/>
      <c r="Z15" s="23"/>
      <c r="AA15" s="8"/>
      <c r="AB15" s="23"/>
      <c r="AC15" s="23"/>
      <c r="AD15" s="23"/>
      <c r="AE15" s="8"/>
      <c r="AF15" s="23"/>
      <c r="AG15" s="23"/>
      <c r="AH15" s="36">
        <f t="shared" si="9"/>
        <v>0</v>
      </c>
      <c r="AI15" s="21">
        <f t="shared" si="10"/>
        <v>0</v>
      </c>
      <c r="AJ15" s="22"/>
      <c r="AK15" s="17"/>
      <c r="AL15" s="30"/>
    </row>
    <row r="16" spans="1:38" ht="25.5" customHeight="1">
      <c r="A16" s="39" t="s">
        <v>328</v>
      </c>
      <c r="B16" s="23">
        <v>5577.23</v>
      </c>
      <c r="C16" s="23"/>
      <c r="D16" s="23"/>
      <c r="E16" s="23"/>
      <c r="F16" s="23"/>
      <c r="G16" s="23"/>
      <c r="H16" s="23"/>
      <c r="I16" s="5"/>
      <c r="J16" s="6"/>
      <c r="K16" s="23"/>
      <c r="L16" s="23"/>
      <c r="M16" s="7"/>
      <c r="N16" s="23"/>
      <c r="O16" s="8"/>
      <c r="P16" s="23"/>
      <c r="Q16" s="23"/>
      <c r="R16" s="23"/>
      <c r="S16" s="23"/>
      <c r="T16" s="25"/>
      <c r="U16" s="10"/>
      <c r="V16" s="35"/>
      <c r="W16" s="35"/>
      <c r="X16" s="35"/>
      <c r="Y16" s="11"/>
      <c r="Z16" s="23"/>
      <c r="AA16" s="8"/>
      <c r="AB16" s="23"/>
      <c r="AC16" s="23"/>
      <c r="AD16" s="23"/>
      <c r="AE16" s="8"/>
      <c r="AF16" s="23"/>
      <c r="AG16" s="23"/>
      <c r="AH16" s="36">
        <f t="shared" si="9"/>
        <v>0</v>
      </c>
      <c r="AI16" s="21">
        <f t="shared" si="10"/>
        <v>0</v>
      </c>
      <c r="AJ16" s="22"/>
      <c r="AK16" s="17"/>
      <c r="AL16" s="30"/>
    </row>
    <row r="17" spans="1:38" ht="25.5" customHeight="1">
      <c r="A17" s="39" t="s">
        <v>329</v>
      </c>
      <c r="B17" s="23">
        <v>5594.22</v>
      </c>
      <c r="C17" s="23"/>
      <c r="D17" s="23"/>
      <c r="E17" s="23"/>
      <c r="F17" s="23"/>
      <c r="G17" s="23"/>
      <c r="H17" s="23"/>
      <c r="I17" s="5"/>
      <c r="J17" s="6"/>
      <c r="K17" s="23"/>
      <c r="L17" s="23"/>
      <c r="M17" s="7"/>
      <c r="N17" s="23"/>
      <c r="O17" s="8"/>
      <c r="P17" s="23"/>
      <c r="Q17" s="23"/>
      <c r="R17" s="23"/>
      <c r="S17" s="23"/>
      <c r="T17" s="25"/>
      <c r="U17" s="10"/>
      <c r="V17" s="35"/>
      <c r="W17" s="35"/>
      <c r="X17" s="35"/>
      <c r="Y17" s="11"/>
      <c r="Z17" s="23"/>
      <c r="AA17" s="8"/>
      <c r="AC17" s="23"/>
      <c r="AD17" s="23"/>
      <c r="AE17" s="8"/>
      <c r="AF17" s="23"/>
      <c r="AG17" s="23"/>
      <c r="AH17" s="36">
        <f t="shared" si="9"/>
        <v>0</v>
      </c>
      <c r="AI17" s="21">
        <f t="shared" si="10"/>
        <v>0</v>
      </c>
      <c r="AJ17" s="22"/>
      <c r="AK17" s="17"/>
      <c r="AL17" s="30"/>
    </row>
    <row r="18" spans="1:38" ht="25.5" customHeight="1">
      <c r="A18" s="39" t="s">
        <v>330</v>
      </c>
      <c r="B18" s="23">
        <v>5615.35</v>
      </c>
      <c r="C18" s="23"/>
      <c r="D18" s="23"/>
      <c r="E18" s="23"/>
      <c r="F18" s="23"/>
      <c r="G18" s="23"/>
      <c r="H18" s="23"/>
      <c r="I18" s="5"/>
      <c r="J18" s="6"/>
      <c r="K18" s="23"/>
      <c r="L18" s="23"/>
      <c r="M18" s="7"/>
      <c r="N18" s="23"/>
      <c r="O18" s="8"/>
      <c r="P18" s="23"/>
      <c r="Q18" s="23"/>
      <c r="R18" s="23"/>
      <c r="S18" s="23"/>
      <c r="T18" s="25"/>
      <c r="U18" s="10"/>
      <c r="V18" s="35"/>
      <c r="W18" s="35"/>
      <c r="X18" s="35"/>
      <c r="Y18" s="11"/>
      <c r="Z18" s="23"/>
      <c r="AA18" s="8"/>
      <c r="AB18" s="23"/>
      <c r="AC18" s="23"/>
      <c r="AD18" s="23"/>
      <c r="AE18" s="8"/>
      <c r="AF18" s="23"/>
      <c r="AG18" s="23"/>
      <c r="AH18" s="36">
        <f t="shared" si="9"/>
        <v>0</v>
      </c>
      <c r="AI18" s="21">
        <f t="shared" si="10"/>
        <v>0</v>
      </c>
      <c r="AJ18" s="22"/>
      <c r="AK18" s="17"/>
      <c r="AL18" s="30"/>
    </row>
    <row r="19" spans="1:38" ht="25.5" customHeight="1">
      <c r="A19" s="39" t="s">
        <v>331</v>
      </c>
      <c r="B19" s="23">
        <v>5640.25</v>
      </c>
      <c r="C19" s="23"/>
      <c r="D19" s="23"/>
      <c r="E19" s="23"/>
      <c r="F19" s="23"/>
      <c r="G19" s="23"/>
      <c r="H19" s="23"/>
      <c r="I19" s="5"/>
      <c r="J19" s="6"/>
      <c r="K19" s="23"/>
      <c r="L19" s="23"/>
      <c r="M19" s="7"/>
      <c r="N19" s="23"/>
      <c r="O19" s="8"/>
      <c r="P19" s="23"/>
      <c r="Q19" s="23"/>
      <c r="R19" s="23"/>
      <c r="S19" s="23"/>
      <c r="T19" s="25"/>
      <c r="U19" s="10"/>
      <c r="V19" s="35"/>
      <c r="W19" s="35"/>
      <c r="X19" s="35"/>
      <c r="Y19" s="11"/>
      <c r="Z19" s="23"/>
      <c r="AA19" s="8"/>
      <c r="AB19" s="23"/>
      <c r="AC19" s="23"/>
      <c r="AD19" s="23"/>
      <c r="AE19" s="8"/>
      <c r="AF19" s="23"/>
      <c r="AG19" s="23"/>
      <c r="AH19" s="36">
        <f t="shared" si="9"/>
        <v>0</v>
      </c>
      <c r="AI19" s="21">
        <f t="shared" si="10"/>
        <v>0</v>
      </c>
      <c r="AJ19" s="22"/>
      <c r="AK19" s="17"/>
      <c r="AL19" s="30"/>
    </row>
    <row r="20" spans="1:38" ht="25.5" customHeight="1">
      <c r="A20" s="39" t="s">
        <v>332</v>
      </c>
      <c r="B20" s="23">
        <v>5677.97</v>
      </c>
      <c r="C20" s="23"/>
      <c r="D20" s="23"/>
      <c r="E20" s="23"/>
      <c r="F20" s="23"/>
      <c r="G20" s="23"/>
      <c r="H20" s="23"/>
      <c r="I20" s="5"/>
      <c r="J20" s="6"/>
      <c r="K20" s="23"/>
      <c r="L20" s="23"/>
      <c r="M20" s="7"/>
      <c r="N20" s="23"/>
      <c r="O20" s="8"/>
      <c r="P20" s="23"/>
      <c r="Q20" s="23"/>
      <c r="R20" s="23"/>
      <c r="S20" s="23"/>
      <c r="T20" s="25"/>
      <c r="U20" s="10"/>
      <c r="V20" s="35"/>
      <c r="W20" s="35"/>
      <c r="X20" s="35"/>
      <c r="Y20" s="11"/>
      <c r="Z20" s="23"/>
      <c r="AA20" s="8"/>
      <c r="AB20" s="23"/>
      <c r="AC20" s="23"/>
      <c r="AD20" s="23"/>
      <c r="AE20" s="8"/>
      <c r="AF20" s="23"/>
      <c r="AG20" s="23"/>
      <c r="AH20" s="36">
        <f t="shared" si="9"/>
        <v>0</v>
      </c>
      <c r="AI20" s="21">
        <f t="shared" si="10"/>
        <v>0</v>
      </c>
      <c r="AJ20" s="22"/>
      <c r="AK20" s="17"/>
      <c r="AL20" s="30"/>
    </row>
    <row r="21" spans="1:38" ht="25.5" customHeight="1">
      <c r="A21" s="39" t="s">
        <v>333</v>
      </c>
      <c r="B21" s="23">
        <v>5693.55</v>
      </c>
      <c r="C21" s="23"/>
      <c r="D21" s="23"/>
      <c r="E21" s="23"/>
      <c r="F21" s="23"/>
      <c r="G21" s="23"/>
      <c r="H21" s="23"/>
      <c r="I21" s="5"/>
      <c r="J21" s="6"/>
      <c r="K21" s="23"/>
      <c r="L21" s="23"/>
      <c r="M21" s="7"/>
      <c r="N21" s="23"/>
      <c r="O21" s="8"/>
      <c r="P21" s="23"/>
      <c r="Q21" s="23"/>
      <c r="R21" s="23"/>
      <c r="S21" s="23"/>
      <c r="T21" s="25"/>
      <c r="U21" s="10"/>
      <c r="V21" s="35"/>
      <c r="W21" s="35"/>
      <c r="X21" s="35"/>
      <c r="Y21" s="11"/>
      <c r="Z21" s="23"/>
      <c r="AA21" s="8"/>
      <c r="AB21" s="23"/>
      <c r="AC21" s="23"/>
      <c r="AD21" s="23"/>
      <c r="AE21" s="8"/>
      <c r="AF21" s="23"/>
      <c r="AG21" s="23"/>
      <c r="AH21" s="36">
        <f t="shared" si="9"/>
        <v>0</v>
      </c>
      <c r="AI21" s="21">
        <f t="shared" si="10"/>
        <v>0</v>
      </c>
      <c r="AJ21" s="22"/>
      <c r="AK21" s="17"/>
      <c r="AL21" s="30"/>
    </row>
    <row r="22" spans="1:38" ht="25.5" customHeight="1">
      <c r="A22" s="39" t="s">
        <v>334</v>
      </c>
      <c r="B22" s="23">
        <v>5712.7</v>
      </c>
      <c r="C22" s="23">
        <v>191.5</v>
      </c>
      <c r="D22" s="23"/>
      <c r="E22" s="23"/>
      <c r="F22" s="23"/>
      <c r="G22" s="23"/>
      <c r="H22" s="23"/>
      <c r="I22" s="5"/>
      <c r="J22" s="6"/>
      <c r="K22" s="23"/>
      <c r="L22" s="23"/>
      <c r="M22" s="7"/>
      <c r="N22" s="23"/>
      <c r="O22" s="8"/>
      <c r="P22" s="23"/>
      <c r="Q22" s="23"/>
      <c r="R22" s="23"/>
      <c r="S22" s="23"/>
      <c r="T22" s="25"/>
      <c r="U22" s="10"/>
      <c r="V22" s="35"/>
      <c r="W22" s="35"/>
      <c r="X22" s="35"/>
      <c r="Y22" s="11"/>
      <c r="Z22" s="23"/>
      <c r="AA22" s="8"/>
      <c r="AB22" s="23"/>
      <c r="AC22" s="23"/>
      <c r="AD22" s="23"/>
      <c r="AE22" s="8"/>
      <c r="AF22" s="23"/>
      <c r="AG22" s="23"/>
      <c r="AH22" s="36">
        <f t="shared" si="9"/>
        <v>0</v>
      </c>
      <c r="AI22" s="21">
        <f t="shared" si="10"/>
        <v>0</v>
      </c>
      <c r="AJ22" s="22"/>
      <c r="AK22" s="17"/>
      <c r="AL22" s="30"/>
    </row>
    <row r="23" spans="1:38" ht="25.5" customHeight="1">
      <c r="A23" s="39" t="s">
        <v>335</v>
      </c>
      <c r="B23" s="23">
        <v>5731.03</v>
      </c>
      <c r="C23" s="23">
        <v>183.3</v>
      </c>
      <c r="D23" s="23"/>
      <c r="E23" s="23"/>
      <c r="F23" s="23"/>
      <c r="G23" s="23"/>
      <c r="H23" s="23"/>
      <c r="I23" s="5"/>
      <c r="J23" s="6"/>
      <c r="K23" s="23"/>
      <c r="L23" s="23"/>
      <c r="M23" s="7"/>
      <c r="N23" s="23"/>
      <c r="O23" s="8"/>
      <c r="P23" s="23"/>
      <c r="Q23" s="23"/>
      <c r="R23" s="23"/>
      <c r="S23" s="23"/>
      <c r="T23" s="25"/>
      <c r="U23" s="10"/>
      <c r="V23" s="35"/>
      <c r="W23" s="35"/>
      <c r="X23" s="35"/>
      <c r="Y23" s="11"/>
      <c r="Z23" s="23"/>
      <c r="AA23" s="8"/>
      <c r="AB23" s="23"/>
      <c r="AC23" s="23"/>
      <c r="AD23" s="23"/>
      <c r="AE23" s="8"/>
      <c r="AF23" s="23"/>
      <c r="AG23" s="23"/>
      <c r="AH23" s="36">
        <f t="shared" si="9"/>
        <v>0</v>
      </c>
      <c r="AI23" s="21">
        <f t="shared" si="10"/>
        <v>0</v>
      </c>
      <c r="AJ23" s="22"/>
      <c r="AK23" s="17"/>
      <c r="AL23" s="30"/>
    </row>
    <row r="24" spans="1:38" ht="25.5" customHeight="1">
      <c r="A24" s="39"/>
      <c r="B24" s="23"/>
      <c r="C24" s="23"/>
      <c r="D24" s="23"/>
      <c r="E24" s="23"/>
      <c r="F24" s="23"/>
      <c r="G24" s="23"/>
      <c r="H24" s="23"/>
      <c r="I24" s="5"/>
      <c r="J24" s="6"/>
      <c r="K24" s="23"/>
      <c r="L24" s="23"/>
      <c r="M24" s="7"/>
      <c r="N24" s="23"/>
      <c r="O24" s="8"/>
      <c r="P24" s="23"/>
      <c r="Q24" s="23"/>
      <c r="R24" s="23"/>
      <c r="S24" s="23"/>
      <c r="T24" s="25"/>
      <c r="U24" s="10"/>
      <c r="V24" s="35"/>
      <c r="W24" s="35"/>
      <c r="X24" s="35"/>
      <c r="Y24" s="11"/>
      <c r="Z24" s="23"/>
      <c r="AA24" s="8"/>
      <c r="AB24" s="23"/>
      <c r="AC24" s="23"/>
      <c r="AD24" s="23"/>
      <c r="AE24" s="8"/>
      <c r="AF24" s="23"/>
      <c r="AG24" s="23"/>
      <c r="AH24" s="36">
        <f t="shared" si="9"/>
        <v>0</v>
      </c>
      <c r="AI24" s="21">
        <f t="shared" si="10"/>
        <v>0</v>
      </c>
      <c r="AJ24" s="22"/>
      <c r="AK24" s="17"/>
      <c r="AL24" s="30"/>
    </row>
    <row r="25" spans="1:38" ht="25.5" customHeight="1">
      <c r="A25" s="39"/>
      <c r="B25" s="23"/>
      <c r="C25" s="23"/>
      <c r="D25" s="23"/>
      <c r="E25" s="23"/>
      <c r="F25" s="23"/>
      <c r="G25" s="23"/>
      <c r="H25" s="23"/>
      <c r="I25" s="5"/>
      <c r="J25" s="6"/>
      <c r="K25" s="23"/>
      <c r="L25" s="23"/>
      <c r="M25" s="7"/>
      <c r="N25" s="23"/>
      <c r="O25" s="8"/>
      <c r="P25" s="23"/>
      <c r="Q25" s="23"/>
      <c r="R25" s="23"/>
      <c r="S25" s="23"/>
      <c r="T25" s="25"/>
      <c r="U25" s="10"/>
      <c r="V25" s="35"/>
      <c r="W25" s="35"/>
      <c r="X25" s="35"/>
      <c r="Y25" s="11"/>
      <c r="Z25" s="23"/>
      <c r="AA25" s="8"/>
      <c r="AB25" s="23"/>
      <c r="AC25" s="23"/>
      <c r="AD25" s="23"/>
      <c r="AE25" s="8"/>
      <c r="AF25" s="23"/>
      <c r="AG25" s="23"/>
      <c r="AH25" s="36">
        <f t="shared" si="9"/>
        <v>0</v>
      </c>
      <c r="AI25" s="21">
        <f t="shared" si="10"/>
        <v>0</v>
      </c>
      <c r="AJ25" s="22"/>
      <c r="AK25" s="17"/>
      <c r="AL25" s="30"/>
    </row>
    <row r="26" spans="1:38" ht="25.5" customHeight="1">
      <c r="A26" s="39"/>
      <c r="B26" s="23"/>
      <c r="C26" s="23"/>
      <c r="D26" s="23"/>
      <c r="E26" s="23"/>
      <c r="F26" s="23"/>
      <c r="G26" s="23"/>
      <c r="H26" s="23"/>
      <c r="I26" s="5"/>
      <c r="J26" s="6"/>
      <c r="K26" s="23"/>
      <c r="L26" s="23"/>
      <c r="M26" s="7"/>
      <c r="N26" s="23"/>
      <c r="O26" s="8"/>
      <c r="P26" s="23"/>
      <c r="Q26" s="23"/>
      <c r="R26" s="23"/>
      <c r="S26" s="23"/>
      <c r="T26" s="25"/>
      <c r="U26" s="10"/>
      <c r="V26" s="35"/>
      <c r="W26" s="35"/>
      <c r="X26" s="35"/>
      <c r="Y26" s="11"/>
      <c r="Z26" s="23"/>
      <c r="AA26" s="8"/>
      <c r="AB26" s="23"/>
      <c r="AC26" s="23"/>
      <c r="AD26" s="23"/>
      <c r="AE26" s="8"/>
      <c r="AF26" s="23"/>
      <c r="AG26" s="23"/>
      <c r="AH26" s="36">
        <f t="shared" si="9"/>
        <v>0</v>
      </c>
      <c r="AI26" s="21">
        <f t="shared" si="10"/>
        <v>0</v>
      </c>
      <c r="AJ26" s="22"/>
      <c r="AK26" s="17"/>
      <c r="AL26" s="30"/>
    </row>
    <row r="27" spans="1:38" ht="25.5" customHeight="1">
      <c r="A27" s="39"/>
      <c r="B27" s="23"/>
      <c r="C27" s="23"/>
      <c r="D27" s="23"/>
      <c r="E27" s="23"/>
      <c r="F27" s="23"/>
      <c r="G27" s="23"/>
      <c r="H27" s="23"/>
      <c r="I27" s="5"/>
      <c r="J27" s="6"/>
      <c r="K27" s="23"/>
      <c r="L27" s="23"/>
      <c r="M27" s="7"/>
      <c r="N27" s="23"/>
      <c r="O27" s="8"/>
      <c r="P27" s="23"/>
      <c r="Q27" s="23"/>
      <c r="R27" s="23"/>
      <c r="S27" s="23"/>
      <c r="T27" s="25"/>
      <c r="U27" s="10"/>
      <c r="V27" s="35"/>
      <c r="W27" s="35"/>
      <c r="X27" s="35"/>
      <c r="Y27" s="11"/>
      <c r="Z27" s="23"/>
      <c r="AA27" s="8"/>
      <c r="AB27" s="23"/>
      <c r="AC27" s="23"/>
      <c r="AD27" s="23"/>
      <c r="AE27" s="8"/>
      <c r="AF27" s="23"/>
      <c r="AG27" s="23"/>
      <c r="AH27" s="36"/>
      <c r="AI27" s="21"/>
      <c r="AJ27" s="22"/>
      <c r="AK27" s="17"/>
      <c r="AL27" s="30"/>
    </row>
    <row r="28" spans="1:38" ht="25.5" customHeight="1">
      <c r="A28" s="39"/>
      <c r="B28" s="23"/>
      <c r="C28" s="23"/>
      <c r="D28" s="23"/>
      <c r="E28" s="23"/>
      <c r="F28" s="23"/>
      <c r="G28" s="23"/>
      <c r="H28" s="23"/>
      <c r="I28" s="5"/>
      <c r="J28" s="6"/>
      <c r="K28" s="23"/>
      <c r="L28" s="23"/>
      <c r="M28" s="7"/>
      <c r="N28" s="23"/>
      <c r="O28" s="8"/>
      <c r="P28" s="23"/>
      <c r="Q28" s="23"/>
      <c r="R28" s="23"/>
      <c r="S28" s="23"/>
      <c r="T28" s="25"/>
      <c r="U28" s="10"/>
      <c r="V28" s="35"/>
      <c r="W28" s="35"/>
      <c r="X28" s="35"/>
      <c r="Y28" s="11"/>
      <c r="Z28" s="23"/>
      <c r="AA28" s="8"/>
      <c r="AB28" s="23"/>
      <c r="AC28" s="23"/>
      <c r="AD28" s="23"/>
      <c r="AE28" s="8"/>
      <c r="AF28" s="23"/>
      <c r="AG28" s="23"/>
      <c r="AH28" s="36"/>
      <c r="AI28" s="21"/>
      <c r="AJ28" s="22"/>
      <c r="AK28" s="17"/>
      <c r="AL28" s="30"/>
    </row>
    <row r="29" spans="1:38" ht="25.5" customHeight="1">
      <c r="A29" s="39"/>
      <c r="B29" s="23"/>
      <c r="C29" s="23"/>
      <c r="D29" s="23"/>
      <c r="E29" s="23"/>
      <c r="F29" s="23"/>
      <c r="G29" s="23"/>
      <c r="H29" s="23"/>
      <c r="I29" s="5"/>
      <c r="J29" s="6"/>
      <c r="K29" s="23"/>
      <c r="L29" s="23"/>
      <c r="M29" s="7"/>
      <c r="N29" s="23"/>
      <c r="O29" s="8"/>
      <c r="P29" s="23"/>
      <c r="Q29" s="23"/>
      <c r="R29" s="23"/>
      <c r="S29" s="23"/>
      <c r="T29" s="25"/>
      <c r="U29" s="10"/>
      <c r="V29" s="35"/>
      <c r="W29" s="35"/>
      <c r="X29" s="35"/>
      <c r="Y29" s="11"/>
      <c r="Z29" s="23"/>
      <c r="AA29" s="8"/>
      <c r="AB29" s="23"/>
      <c r="AC29" s="23"/>
      <c r="AD29" s="23"/>
      <c r="AE29" s="8"/>
      <c r="AF29" s="23"/>
      <c r="AG29" s="23"/>
      <c r="AH29" s="36"/>
      <c r="AI29" s="21"/>
      <c r="AJ29" s="22"/>
      <c r="AK29" s="17"/>
      <c r="AL29" s="30"/>
    </row>
    <row r="30" spans="1:38" ht="25.5" customHeight="1">
      <c r="A30" s="41"/>
      <c r="B30" s="42"/>
      <c r="C30" s="42"/>
      <c r="D30" s="42"/>
      <c r="E30" s="42"/>
      <c r="F30" s="42"/>
      <c r="G30" s="42"/>
      <c r="H30" s="42"/>
      <c r="I30" s="5"/>
      <c r="J30" s="43"/>
      <c r="K30" s="42"/>
      <c r="L30" s="42"/>
      <c r="M30" s="7"/>
      <c r="N30" s="42"/>
      <c r="O30" s="8"/>
      <c r="P30" s="42"/>
      <c r="Q30" s="42"/>
      <c r="R30" s="42"/>
      <c r="S30" s="42"/>
      <c r="T30" s="44"/>
      <c r="U30" s="45"/>
      <c r="V30" s="32"/>
      <c r="W30" s="32"/>
      <c r="X30" s="32"/>
      <c r="Y30" s="11"/>
      <c r="Z30" s="42"/>
      <c r="AA30" s="8"/>
      <c r="AB30" s="42"/>
      <c r="AC30" s="42"/>
      <c r="AD30" s="42"/>
      <c r="AE30" s="8"/>
      <c r="AF30" s="42"/>
      <c r="AG30" s="42"/>
      <c r="AH30" s="36"/>
      <c r="AI30" s="47"/>
      <c r="AJ30" s="48"/>
      <c r="AK30" s="49"/>
      <c r="AL30" s="50"/>
    </row>
    <row r="31" spans="1:38">
      <c r="Y31" s="11"/>
    </row>
    <row r="32" spans="1:38">
      <c r="Y32" s="11"/>
    </row>
    <row r="33" spans="25:25">
      <c r="Y33" s="11"/>
    </row>
    <row r="34" spans="25:25">
      <c r="Y34" s="11"/>
    </row>
    <row r="35" spans="25:25">
      <c r="Y35" s="11"/>
    </row>
    <row r="36" spans="25:25">
      <c r="Y36" s="11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9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15.85546875" customWidth="1"/>
  </cols>
  <sheetData>
    <row r="1" spans="1:38" ht="24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55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5.5" customHeight="1">
      <c r="A3" s="39" t="s">
        <v>336</v>
      </c>
      <c r="B3" s="23"/>
      <c r="C3" s="56"/>
      <c r="D3" s="23">
        <v>7499.77</v>
      </c>
      <c r="E3" s="23">
        <v>534.97</v>
      </c>
      <c r="F3" s="23">
        <v>0.91600000000000004</v>
      </c>
      <c r="G3" s="23">
        <v>0.51600000000000001</v>
      </c>
      <c r="H3" s="23">
        <v>40</v>
      </c>
      <c r="I3" s="5">
        <f t="shared" ref="I3:I33" si="0">(E4-E3)*40</f>
        <v>4.0000000000009095</v>
      </c>
      <c r="J3" s="6">
        <f t="shared" ref="J3:J33" si="1">(D4-D3)*40</f>
        <v>538.79999999997381</v>
      </c>
      <c r="K3" s="23">
        <v>227183.52</v>
      </c>
      <c r="L3" s="23">
        <v>0.995</v>
      </c>
      <c r="M3" s="7">
        <f t="shared" ref="M3:M33" si="2">(K4-K3)</f>
        <v>174.16000000000349</v>
      </c>
      <c r="N3" s="23">
        <v>112</v>
      </c>
      <c r="O3" s="8">
        <f t="shared" ref="O3:O21" si="3">(N4-N3)</f>
        <v>0</v>
      </c>
      <c r="P3" s="23">
        <v>741.2</v>
      </c>
      <c r="Q3" s="23">
        <v>0</v>
      </c>
      <c r="R3" s="23">
        <v>10162.299999999999</v>
      </c>
      <c r="S3" s="23">
        <v>0.88300000000000001</v>
      </c>
      <c r="T3" s="25">
        <f t="shared" ref="T3:T33" si="4">(R4-R3)</f>
        <v>99</v>
      </c>
      <c r="U3" s="26">
        <f t="shared" ref="U3:U33" si="5">(J3+M3+O3+T3)</f>
        <v>811.9599999999773</v>
      </c>
      <c r="V3" s="35">
        <v>18.5</v>
      </c>
      <c r="W3" s="35">
        <v>19</v>
      </c>
      <c r="X3" s="35">
        <v>29</v>
      </c>
      <c r="Y3" s="11">
        <f t="shared" ref="Y3:Y33" si="6">SUM(V3:X3)</f>
        <v>66.5</v>
      </c>
      <c r="Z3" s="23">
        <v>7911.55</v>
      </c>
      <c r="AA3" s="8">
        <f t="shared" ref="AA3:AA33" si="7">(Z4-Z3)</f>
        <v>0</v>
      </c>
      <c r="AB3" s="23"/>
      <c r="AC3" s="23">
        <v>0</v>
      </c>
      <c r="AD3" s="23">
        <v>21950</v>
      </c>
      <c r="AE3" s="8">
        <f t="shared" ref="AE3:AE33" si="8">(AD4-AD3)</f>
        <v>0</v>
      </c>
      <c r="AF3" s="23">
        <v>1609</v>
      </c>
      <c r="AG3" s="23">
        <v>0</v>
      </c>
      <c r="AH3" s="36">
        <f t="shared" ref="AH3:AH33" si="9">Y3</f>
        <v>66.5</v>
      </c>
      <c r="AI3" s="21">
        <f t="shared" ref="AI3:AI33" si="10">I3</f>
        <v>4.0000000000009095</v>
      </c>
      <c r="AJ3" s="22">
        <f t="shared" ref="AJ3:AJ33" si="11">(AH3-AI3)</f>
        <v>62.499999999999091</v>
      </c>
      <c r="AK3" s="27">
        <f t="shared" ref="AK3:AK33" si="12">(U3+AA3+AE3)</f>
        <v>811.9599999999773</v>
      </c>
      <c r="AL3" s="40">
        <f t="shared" ref="AL3:AL33" si="13">(AJ3+AK3)</f>
        <v>874.45999999997639</v>
      </c>
    </row>
    <row r="4" spans="1:38" ht="25.5" customHeight="1">
      <c r="A4" s="39" t="s">
        <v>337</v>
      </c>
      <c r="B4" s="23"/>
      <c r="C4" s="56"/>
      <c r="D4" s="23">
        <v>7513.24</v>
      </c>
      <c r="E4" s="23">
        <v>535.07000000000005</v>
      </c>
      <c r="F4" s="23">
        <v>0.91100000000000003</v>
      </c>
      <c r="G4" s="23">
        <v>0.54900000000000004</v>
      </c>
      <c r="H4" s="23">
        <v>40</v>
      </c>
      <c r="I4" s="5">
        <f t="shared" si="0"/>
        <v>0</v>
      </c>
      <c r="J4" s="6">
        <f t="shared" si="1"/>
        <v>963.60000000000582</v>
      </c>
      <c r="K4" s="23">
        <v>227357.68</v>
      </c>
      <c r="L4" s="23">
        <v>0.995</v>
      </c>
      <c r="M4" s="7">
        <f t="shared" si="2"/>
        <v>119.76000000000931</v>
      </c>
      <c r="N4" s="23">
        <v>112</v>
      </c>
      <c r="O4" s="8">
        <f t="shared" si="3"/>
        <v>0</v>
      </c>
      <c r="P4" s="23">
        <v>741.2</v>
      </c>
      <c r="Q4" s="23">
        <v>0</v>
      </c>
      <c r="R4" s="23">
        <v>10261.299999999999</v>
      </c>
      <c r="S4" s="23">
        <v>0.88300000000000001</v>
      </c>
      <c r="T4" s="25">
        <f t="shared" si="4"/>
        <v>129.60000000000036</v>
      </c>
      <c r="U4" s="26">
        <f t="shared" si="5"/>
        <v>1212.9600000000155</v>
      </c>
      <c r="V4" s="35">
        <v>19.399999999999999</v>
      </c>
      <c r="W4" s="35">
        <v>16.600000000000001</v>
      </c>
      <c r="X4" s="35">
        <v>12.4</v>
      </c>
      <c r="Y4" s="11">
        <f t="shared" si="6"/>
        <v>48.4</v>
      </c>
      <c r="Z4" s="23">
        <v>7911.55</v>
      </c>
      <c r="AA4" s="8">
        <f t="shared" si="7"/>
        <v>0</v>
      </c>
      <c r="AB4" s="23"/>
      <c r="AC4" s="23">
        <v>0</v>
      </c>
      <c r="AD4" s="23">
        <v>21950</v>
      </c>
      <c r="AE4" s="8">
        <f t="shared" si="8"/>
        <v>5</v>
      </c>
      <c r="AF4" s="23">
        <v>1609</v>
      </c>
      <c r="AG4" s="23">
        <v>0</v>
      </c>
      <c r="AH4" s="36">
        <f t="shared" si="9"/>
        <v>48.4</v>
      </c>
      <c r="AI4" s="21">
        <f t="shared" si="10"/>
        <v>0</v>
      </c>
      <c r="AJ4" s="22">
        <f t="shared" si="11"/>
        <v>48.4</v>
      </c>
      <c r="AK4" s="27">
        <f t="shared" si="12"/>
        <v>1217.9600000000155</v>
      </c>
      <c r="AL4" s="40">
        <f t="shared" si="13"/>
        <v>1266.3600000000156</v>
      </c>
    </row>
    <row r="5" spans="1:38" ht="25.5" customHeight="1">
      <c r="A5" s="39" t="s">
        <v>338</v>
      </c>
      <c r="B5" s="23"/>
      <c r="C5" s="56"/>
      <c r="D5" s="23">
        <v>7537.33</v>
      </c>
      <c r="E5" s="23">
        <v>535.07000000000005</v>
      </c>
      <c r="F5" s="23">
        <v>0.92300000000000004</v>
      </c>
      <c r="G5" s="23">
        <v>0.34899999999999998</v>
      </c>
      <c r="H5" s="23">
        <v>40</v>
      </c>
      <c r="I5" s="5">
        <f t="shared" si="0"/>
        <v>1.1999999999989086</v>
      </c>
      <c r="J5" s="6">
        <f t="shared" si="1"/>
        <v>457.99999999999272</v>
      </c>
      <c r="K5" s="23">
        <v>227477.44</v>
      </c>
      <c r="L5" s="23">
        <v>0.995</v>
      </c>
      <c r="M5" s="7">
        <f t="shared" si="2"/>
        <v>55.660000000003492</v>
      </c>
      <c r="N5" s="23">
        <v>112</v>
      </c>
      <c r="O5" s="8">
        <f t="shared" si="3"/>
        <v>0</v>
      </c>
      <c r="P5" s="23">
        <v>741.2</v>
      </c>
      <c r="Q5" s="23">
        <v>0</v>
      </c>
      <c r="R5" s="23">
        <v>10390.9</v>
      </c>
      <c r="S5" s="23">
        <v>0.88300000000000001</v>
      </c>
      <c r="T5" s="25">
        <f t="shared" si="4"/>
        <v>72.300000000001091</v>
      </c>
      <c r="U5" s="26">
        <f t="shared" si="5"/>
        <v>585.95999999999731</v>
      </c>
      <c r="V5" s="35">
        <v>0</v>
      </c>
      <c r="W5" s="35">
        <v>0</v>
      </c>
      <c r="X5" s="35">
        <v>0</v>
      </c>
      <c r="Y5" s="11">
        <f t="shared" si="6"/>
        <v>0</v>
      </c>
      <c r="Z5" s="23">
        <v>7911.55</v>
      </c>
      <c r="AA5" s="8">
        <f t="shared" si="7"/>
        <v>0</v>
      </c>
      <c r="AB5" s="23"/>
      <c r="AC5" s="23">
        <v>0</v>
      </c>
      <c r="AD5" s="23">
        <v>21955</v>
      </c>
      <c r="AE5" s="8">
        <f t="shared" si="8"/>
        <v>0</v>
      </c>
      <c r="AF5" s="23">
        <v>1610.1</v>
      </c>
      <c r="AG5" s="23">
        <v>0</v>
      </c>
      <c r="AH5" s="36">
        <f t="shared" si="9"/>
        <v>0</v>
      </c>
      <c r="AI5" s="21">
        <f t="shared" si="10"/>
        <v>1.1999999999989086</v>
      </c>
      <c r="AJ5" s="22">
        <f t="shared" si="11"/>
        <v>-1.1999999999989086</v>
      </c>
      <c r="AK5" s="27">
        <f t="shared" si="12"/>
        <v>585.95999999999731</v>
      </c>
      <c r="AL5" s="40">
        <f t="shared" si="13"/>
        <v>584.7599999999984</v>
      </c>
    </row>
    <row r="6" spans="1:38" ht="25.5" customHeight="1">
      <c r="A6" s="39" t="s">
        <v>339</v>
      </c>
      <c r="B6" s="23"/>
      <c r="C6" s="56"/>
      <c r="D6" s="23">
        <v>7548.78</v>
      </c>
      <c r="E6" s="23">
        <v>535.1</v>
      </c>
      <c r="F6" s="23">
        <v>0.91700000000000004</v>
      </c>
      <c r="G6" s="23">
        <v>0.31</v>
      </c>
      <c r="H6" s="23">
        <v>40</v>
      </c>
      <c r="I6" s="5">
        <f t="shared" si="0"/>
        <v>0</v>
      </c>
      <c r="J6" s="6">
        <f t="shared" si="1"/>
        <v>404.79999999999563</v>
      </c>
      <c r="K6" s="23">
        <v>227533.1</v>
      </c>
      <c r="L6" s="23">
        <v>0.999</v>
      </c>
      <c r="M6" s="7">
        <f t="shared" si="2"/>
        <v>60</v>
      </c>
      <c r="N6" s="23">
        <v>112</v>
      </c>
      <c r="O6" s="8">
        <f t="shared" si="3"/>
        <v>0</v>
      </c>
      <c r="P6" s="23">
        <v>741.2</v>
      </c>
      <c r="Q6" s="23">
        <v>0</v>
      </c>
      <c r="R6" s="23">
        <v>10463.200000000001</v>
      </c>
      <c r="S6" s="23">
        <v>0.88300000000000001</v>
      </c>
      <c r="T6" s="25">
        <f t="shared" si="4"/>
        <v>77</v>
      </c>
      <c r="U6" s="26">
        <f t="shared" si="5"/>
        <v>541.79999999999563</v>
      </c>
      <c r="V6" s="35">
        <v>0</v>
      </c>
      <c r="W6" s="35">
        <v>0</v>
      </c>
      <c r="X6" s="35">
        <v>0</v>
      </c>
      <c r="Y6" s="11">
        <f t="shared" si="6"/>
        <v>0</v>
      </c>
      <c r="Z6" s="23">
        <v>7911.55</v>
      </c>
      <c r="AA6" s="8">
        <f t="shared" si="7"/>
        <v>0</v>
      </c>
      <c r="AB6" s="23">
        <v>3628.47</v>
      </c>
      <c r="AC6" s="23">
        <v>0</v>
      </c>
      <c r="AD6" s="23">
        <v>21955</v>
      </c>
      <c r="AE6" s="8">
        <f t="shared" si="8"/>
        <v>0</v>
      </c>
      <c r="AF6" s="23">
        <v>1610.1</v>
      </c>
      <c r="AG6" s="23">
        <v>0</v>
      </c>
      <c r="AH6" s="36">
        <f t="shared" si="9"/>
        <v>0</v>
      </c>
      <c r="AI6" s="21">
        <f t="shared" si="10"/>
        <v>0</v>
      </c>
      <c r="AJ6" s="22">
        <f t="shared" si="11"/>
        <v>0</v>
      </c>
      <c r="AK6" s="27">
        <f t="shared" si="12"/>
        <v>541.79999999999563</v>
      </c>
      <c r="AL6" s="40">
        <f t="shared" si="13"/>
        <v>541.79999999999563</v>
      </c>
    </row>
    <row r="7" spans="1:38" ht="25.5" customHeight="1">
      <c r="A7" s="39" t="s">
        <v>340</v>
      </c>
      <c r="B7" s="35">
        <v>3067.99</v>
      </c>
      <c r="C7" s="56"/>
      <c r="D7" s="23">
        <v>7558.9</v>
      </c>
      <c r="E7" s="23">
        <v>535.1</v>
      </c>
      <c r="F7" s="23">
        <v>0.90300000000000002</v>
      </c>
      <c r="G7" s="23">
        <v>0.309</v>
      </c>
      <c r="H7" s="23">
        <v>40</v>
      </c>
      <c r="I7" s="5">
        <f t="shared" si="0"/>
        <v>5.9999999999990905</v>
      </c>
      <c r="J7" s="6">
        <f t="shared" si="1"/>
        <v>437.60000000002037</v>
      </c>
      <c r="K7" s="23">
        <v>227593.1</v>
      </c>
      <c r="L7" s="23">
        <v>0.999</v>
      </c>
      <c r="M7" s="7">
        <f t="shared" si="2"/>
        <v>17.009999999980209</v>
      </c>
      <c r="N7" s="23">
        <v>112</v>
      </c>
      <c r="O7" s="8">
        <f t="shared" si="3"/>
        <v>0</v>
      </c>
      <c r="P7" s="23">
        <v>741.2</v>
      </c>
      <c r="Q7" s="23">
        <v>0</v>
      </c>
      <c r="R7" s="23">
        <v>10540.2</v>
      </c>
      <c r="S7" s="23">
        <v>0.88300000000000001</v>
      </c>
      <c r="T7" s="25">
        <f t="shared" si="4"/>
        <v>33.699999999998909</v>
      </c>
      <c r="U7" s="26">
        <f t="shared" si="5"/>
        <v>488.30999999999949</v>
      </c>
      <c r="V7" s="35">
        <v>0</v>
      </c>
      <c r="W7" s="35">
        <v>0</v>
      </c>
      <c r="X7" s="35">
        <v>0</v>
      </c>
      <c r="Y7" s="11">
        <f t="shared" si="6"/>
        <v>0</v>
      </c>
      <c r="Z7" s="23">
        <v>7911.55</v>
      </c>
      <c r="AA7" s="8">
        <f t="shared" si="7"/>
        <v>0</v>
      </c>
      <c r="AB7" s="23">
        <v>3638.47</v>
      </c>
      <c r="AC7" s="23">
        <v>0</v>
      </c>
      <c r="AD7" s="23">
        <v>21955</v>
      </c>
      <c r="AE7" s="8">
        <f t="shared" si="8"/>
        <v>0</v>
      </c>
      <c r="AF7" s="23">
        <v>1610.1</v>
      </c>
      <c r="AG7" s="23">
        <v>0</v>
      </c>
      <c r="AH7" s="36">
        <f t="shared" si="9"/>
        <v>0</v>
      </c>
      <c r="AI7" s="21">
        <f t="shared" si="10"/>
        <v>5.9999999999990905</v>
      </c>
      <c r="AJ7" s="22">
        <f t="shared" si="11"/>
        <v>-5.9999999999990905</v>
      </c>
      <c r="AK7" s="27">
        <f t="shared" si="12"/>
        <v>488.30999999999949</v>
      </c>
      <c r="AL7" s="40">
        <f t="shared" si="13"/>
        <v>482.3100000000004</v>
      </c>
    </row>
    <row r="8" spans="1:38" ht="25.5" customHeight="1">
      <c r="A8" s="39" t="s">
        <v>341</v>
      </c>
      <c r="B8" s="35">
        <v>3115.76</v>
      </c>
      <c r="C8" s="56">
        <f t="shared" ref="C8:C33" si="14">B9-B8</f>
        <v>38.129999999999654</v>
      </c>
      <c r="D8" s="23">
        <v>7569.84</v>
      </c>
      <c r="E8" s="23">
        <v>535.25</v>
      </c>
      <c r="F8" s="23">
        <v>0.88500000000000001</v>
      </c>
      <c r="G8" s="23">
        <v>0.29699999999999999</v>
      </c>
      <c r="H8" s="23">
        <v>40</v>
      </c>
      <c r="I8" s="5">
        <f t="shared" si="0"/>
        <v>25.599999999999454</v>
      </c>
      <c r="J8" s="6">
        <f t="shared" si="1"/>
        <v>423.19999999999709</v>
      </c>
      <c r="K8" s="23">
        <v>227610.11</v>
      </c>
      <c r="L8" s="23">
        <v>0.999</v>
      </c>
      <c r="M8" s="7">
        <f t="shared" si="2"/>
        <v>38.650000000023283</v>
      </c>
      <c r="N8" s="23">
        <v>112</v>
      </c>
      <c r="O8" s="8">
        <f t="shared" si="3"/>
        <v>0</v>
      </c>
      <c r="P8" s="23">
        <v>741.2</v>
      </c>
      <c r="Q8" s="23">
        <v>0</v>
      </c>
      <c r="R8" s="23">
        <v>10573.9</v>
      </c>
      <c r="S8" s="23">
        <v>0.88300000000000001</v>
      </c>
      <c r="T8" s="25">
        <f t="shared" si="4"/>
        <v>36.75</v>
      </c>
      <c r="U8" s="26">
        <f t="shared" si="5"/>
        <v>498.60000000002037</v>
      </c>
      <c r="V8" s="35">
        <v>14.22</v>
      </c>
      <c r="W8" s="35">
        <v>15.43</v>
      </c>
      <c r="X8" s="35">
        <v>14.2</v>
      </c>
      <c r="Y8" s="11">
        <f t="shared" si="6"/>
        <v>43.849999999999994</v>
      </c>
      <c r="Z8" s="23">
        <v>7911.55</v>
      </c>
      <c r="AA8" s="8">
        <f t="shared" si="7"/>
        <v>0</v>
      </c>
      <c r="AB8" s="23">
        <v>3638.47</v>
      </c>
      <c r="AC8" s="23">
        <v>0</v>
      </c>
      <c r="AD8" s="57">
        <v>21955</v>
      </c>
      <c r="AE8" s="8">
        <f t="shared" si="8"/>
        <v>0</v>
      </c>
      <c r="AF8" s="23">
        <v>1610.1</v>
      </c>
      <c r="AG8" s="23">
        <v>0</v>
      </c>
      <c r="AH8" s="36">
        <f t="shared" si="9"/>
        <v>43.849999999999994</v>
      </c>
      <c r="AI8" s="21">
        <f t="shared" si="10"/>
        <v>25.599999999999454</v>
      </c>
      <c r="AJ8" s="22">
        <f t="shared" si="11"/>
        <v>18.25000000000054</v>
      </c>
      <c r="AK8" s="27">
        <f t="shared" si="12"/>
        <v>498.60000000002037</v>
      </c>
      <c r="AL8" s="40">
        <f t="shared" si="13"/>
        <v>516.85000000002094</v>
      </c>
    </row>
    <row r="9" spans="1:38" ht="25.5" customHeight="1">
      <c r="A9" s="39" t="s">
        <v>342</v>
      </c>
      <c r="B9" s="35">
        <v>3153.89</v>
      </c>
      <c r="C9" s="56">
        <f t="shared" si="14"/>
        <v>26.140000000000327</v>
      </c>
      <c r="D9" s="23">
        <v>7580.42</v>
      </c>
      <c r="E9" s="23">
        <v>535.89</v>
      </c>
      <c r="F9" s="23">
        <v>0.86199999999999999</v>
      </c>
      <c r="G9" s="23">
        <v>0.36299999999999999</v>
      </c>
      <c r="H9" s="23">
        <v>40</v>
      </c>
      <c r="I9" s="5">
        <f t="shared" si="0"/>
        <v>0</v>
      </c>
      <c r="J9" s="6">
        <f t="shared" si="1"/>
        <v>203.19999999999709</v>
      </c>
      <c r="K9" s="23">
        <v>227648.76</v>
      </c>
      <c r="L9" s="23">
        <v>0.999</v>
      </c>
      <c r="M9" s="7">
        <f t="shared" si="2"/>
        <v>217.53999999997905</v>
      </c>
      <c r="N9" s="23">
        <v>112</v>
      </c>
      <c r="O9" s="8">
        <f t="shared" si="3"/>
        <v>0</v>
      </c>
      <c r="P9" s="23">
        <v>741.2</v>
      </c>
      <c r="Q9" s="23">
        <v>0</v>
      </c>
      <c r="R9" s="23">
        <v>10610.65</v>
      </c>
      <c r="S9" s="23">
        <v>0.88300000000000001</v>
      </c>
      <c r="T9" s="25">
        <f t="shared" si="4"/>
        <v>65.450000000000728</v>
      </c>
      <c r="U9" s="26">
        <f t="shared" si="5"/>
        <v>486.18999999997686</v>
      </c>
      <c r="V9" s="35">
        <v>57.99</v>
      </c>
      <c r="W9" s="35">
        <v>22.24</v>
      </c>
      <c r="X9" s="35">
        <v>25.64</v>
      </c>
      <c r="Y9" s="11">
        <f t="shared" si="6"/>
        <v>105.87</v>
      </c>
      <c r="Z9" s="23">
        <v>7911.55</v>
      </c>
      <c r="AA9" s="8">
        <f t="shared" si="7"/>
        <v>0</v>
      </c>
      <c r="AB9" s="23">
        <v>3638.47</v>
      </c>
      <c r="AC9" s="23">
        <v>0</v>
      </c>
      <c r="AD9" s="23">
        <v>21955</v>
      </c>
      <c r="AE9" s="8">
        <f t="shared" si="8"/>
        <v>5</v>
      </c>
      <c r="AF9" s="23">
        <v>1610.7</v>
      </c>
      <c r="AG9" s="23">
        <v>0</v>
      </c>
      <c r="AH9" s="36">
        <f t="shared" si="9"/>
        <v>105.87</v>
      </c>
      <c r="AI9" s="21">
        <f t="shared" si="10"/>
        <v>0</v>
      </c>
      <c r="AJ9" s="22">
        <f t="shared" si="11"/>
        <v>105.87</v>
      </c>
      <c r="AK9" s="27">
        <f t="shared" si="12"/>
        <v>491.18999999997686</v>
      </c>
      <c r="AL9" s="40">
        <f t="shared" si="13"/>
        <v>597.05999999997687</v>
      </c>
    </row>
    <row r="10" spans="1:38" ht="25.5" customHeight="1">
      <c r="A10" s="39" t="s">
        <v>343</v>
      </c>
      <c r="B10" s="35">
        <v>3180.03</v>
      </c>
      <c r="C10" s="56">
        <f t="shared" si="14"/>
        <v>83.109999999999673</v>
      </c>
      <c r="D10" s="23">
        <v>7585.5</v>
      </c>
      <c r="E10" s="23">
        <v>535.89</v>
      </c>
      <c r="F10" s="23">
        <v>0.86299999999999999</v>
      </c>
      <c r="G10" s="23">
        <v>0.36299999999999999</v>
      </c>
      <c r="H10" s="23">
        <v>40</v>
      </c>
      <c r="I10" s="5">
        <f t="shared" si="0"/>
        <v>40</v>
      </c>
      <c r="J10" s="6">
        <f t="shared" si="1"/>
        <v>630.40000000000873</v>
      </c>
      <c r="K10" s="23">
        <v>227866.3</v>
      </c>
      <c r="L10" s="23">
        <v>0.999</v>
      </c>
      <c r="M10" s="7">
        <f t="shared" si="2"/>
        <v>-89.789999999979045</v>
      </c>
      <c r="N10" s="23">
        <v>112</v>
      </c>
      <c r="O10" s="8">
        <f t="shared" si="3"/>
        <v>0</v>
      </c>
      <c r="P10" s="23">
        <v>741.2</v>
      </c>
      <c r="Q10" s="23">
        <v>0</v>
      </c>
      <c r="R10" s="23">
        <v>10676.1</v>
      </c>
      <c r="S10" s="23">
        <v>0.88300000000000001</v>
      </c>
      <c r="T10" s="25">
        <f t="shared" si="4"/>
        <v>96.100000000000364</v>
      </c>
      <c r="U10" s="26">
        <f t="shared" si="5"/>
        <v>636.71000000003005</v>
      </c>
      <c r="V10" s="35">
        <v>59.38</v>
      </c>
      <c r="W10" s="35">
        <v>69.33</v>
      </c>
      <c r="X10" s="35">
        <v>59.05</v>
      </c>
      <c r="Y10" s="11">
        <f t="shared" si="6"/>
        <v>187.76</v>
      </c>
      <c r="Z10" s="23">
        <v>7911.55</v>
      </c>
      <c r="AA10" s="8">
        <f t="shared" si="7"/>
        <v>0</v>
      </c>
      <c r="AB10" s="23">
        <v>3638.47</v>
      </c>
      <c r="AC10" s="23">
        <v>0</v>
      </c>
      <c r="AD10" s="23">
        <v>21960</v>
      </c>
      <c r="AE10" s="8">
        <f t="shared" si="8"/>
        <v>0</v>
      </c>
      <c r="AF10" s="23">
        <v>1610.7</v>
      </c>
      <c r="AG10" s="23">
        <v>0</v>
      </c>
      <c r="AH10" s="36">
        <f t="shared" si="9"/>
        <v>187.76</v>
      </c>
      <c r="AI10" s="21">
        <f t="shared" si="10"/>
        <v>40</v>
      </c>
      <c r="AJ10" s="22">
        <f t="shared" si="11"/>
        <v>147.76</v>
      </c>
      <c r="AK10" s="27">
        <f t="shared" si="12"/>
        <v>636.71000000003005</v>
      </c>
      <c r="AL10" s="40">
        <f t="shared" si="13"/>
        <v>784.47000000003004</v>
      </c>
    </row>
    <row r="11" spans="1:38" ht="25.5" customHeight="1">
      <c r="A11" s="39" t="s">
        <v>344</v>
      </c>
      <c r="B11" s="35">
        <v>3263.14</v>
      </c>
      <c r="C11" s="56">
        <f t="shared" si="14"/>
        <v>75.110000000000127</v>
      </c>
      <c r="D11" s="23">
        <v>7601.26</v>
      </c>
      <c r="E11" s="23">
        <v>536.89</v>
      </c>
      <c r="F11" s="23">
        <v>0.53600000000000003</v>
      </c>
      <c r="G11" s="23">
        <v>0.435</v>
      </c>
      <c r="H11" s="23">
        <v>40</v>
      </c>
      <c r="I11" s="5">
        <f t="shared" si="0"/>
        <v>15.599999999999454</v>
      </c>
      <c r="J11" s="6">
        <f t="shared" si="1"/>
        <v>423.60000000000582</v>
      </c>
      <c r="K11" s="23">
        <v>227776.51</v>
      </c>
      <c r="L11" s="23">
        <v>0.999</v>
      </c>
      <c r="M11" s="7">
        <f t="shared" si="2"/>
        <v>77.149999999994179</v>
      </c>
      <c r="N11" s="23">
        <v>112</v>
      </c>
      <c r="O11" s="8">
        <f t="shared" si="3"/>
        <v>0</v>
      </c>
      <c r="P11" s="23">
        <v>741.2</v>
      </c>
      <c r="Q11" s="23">
        <v>0</v>
      </c>
      <c r="R11" s="23">
        <v>10772.2</v>
      </c>
      <c r="S11" s="23">
        <v>0.88300000000000001</v>
      </c>
      <c r="T11" s="25">
        <f t="shared" si="4"/>
        <v>65.099999999998545</v>
      </c>
      <c r="U11" s="26">
        <f t="shared" si="5"/>
        <v>565.84999999999854</v>
      </c>
      <c r="V11" s="35">
        <v>77.86</v>
      </c>
      <c r="W11" s="35">
        <v>77.260000000000005</v>
      </c>
      <c r="X11" s="35">
        <v>81.760000000000005</v>
      </c>
      <c r="Y11" s="11">
        <f t="shared" si="6"/>
        <v>236.88</v>
      </c>
      <c r="Z11" s="23">
        <v>7911.55</v>
      </c>
      <c r="AA11" s="8">
        <f t="shared" si="7"/>
        <v>0</v>
      </c>
      <c r="AB11" s="23">
        <v>3635.47</v>
      </c>
      <c r="AC11" s="23">
        <v>0</v>
      </c>
      <c r="AD11" s="23">
        <v>21960</v>
      </c>
      <c r="AE11" s="8">
        <f t="shared" si="8"/>
        <v>4</v>
      </c>
      <c r="AF11" s="23">
        <v>1610.7</v>
      </c>
      <c r="AG11" s="23">
        <v>0</v>
      </c>
      <c r="AH11" s="36">
        <f t="shared" si="9"/>
        <v>236.88</v>
      </c>
      <c r="AI11" s="21">
        <f t="shared" si="10"/>
        <v>15.599999999999454</v>
      </c>
      <c r="AJ11" s="22">
        <f t="shared" si="11"/>
        <v>221.28000000000054</v>
      </c>
      <c r="AK11" s="27">
        <f t="shared" si="12"/>
        <v>569.84999999999854</v>
      </c>
      <c r="AL11" s="40">
        <f t="shared" si="13"/>
        <v>791.12999999999909</v>
      </c>
    </row>
    <row r="12" spans="1:38" ht="25.5" customHeight="1">
      <c r="A12" s="39" t="s">
        <v>345</v>
      </c>
      <c r="B12" s="35">
        <v>3338.25</v>
      </c>
      <c r="C12" s="56">
        <f t="shared" si="14"/>
        <v>61.079999999999927</v>
      </c>
      <c r="D12" s="23">
        <v>7611.85</v>
      </c>
      <c r="E12" s="23">
        <v>537.28</v>
      </c>
      <c r="F12" s="23">
        <v>0.86499999999999999</v>
      </c>
      <c r="G12" s="23">
        <v>0.44700000000000001</v>
      </c>
      <c r="H12" s="23">
        <v>40</v>
      </c>
      <c r="I12" s="5">
        <f t="shared" si="0"/>
        <v>40.799999999999272</v>
      </c>
      <c r="J12" s="6">
        <f t="shared" si="1"/>
        <v>477.19999999997526</v>
      </c>
      <c r="K12" s="23">
        <v>227853.66</v>
      </c>
      <c r="L12" s="23">
        <v>0.999</v>
      </c>
      <c r="M12" s="7">
        <f t="shared" si="2"/>
        <v>1.4199999999837019</v>
      </c>
      <c r="N12" s="23">
        <v>112</v>
      </c>
      <c r="O12" s="8">
        <f t="shared" si="3"/>
        <v>0</v>
      </c>
      <c r="P12" s="23">
        <v>741.2</v>
      </c>
      <c r="Q12" s="23">
        <v>0</v>
      </c>
      <c r="R12" s="23">
        <v>10837.3</v>
      </c>
      <c r="S12" s="23">
        <v>0.88300000000000001</v>
      </c>
      <c r="T12" s="25">
        <f t="shared" si="4"/>
        <v>118.40000000000146</v>
      </c>
      <c r="U12" s="26">
        <f t="shared" si="5"/>
        <v>597.01999999996042</v>
      </c>
      <c r="V12" s="35">
        <v>82.32</v>
      </c>
      <c r="W12" s="35">
        <v>91.69</v>
      </c>
      <c r="X12" s="35">
        <v>87.42</v>
      </c>
      <c r="Y12" s="11">
        <f t="shared" si="6"/>
        <v>261.43</v>
      </c>
      <c r="Z12" s="23">
        <v>7911.55</v>
      </c>
      <c r="AA12" s="8">
        <f t="shared" si="7"/>
        <v>0</v>
      </c>
      <c r="AB12" s="23">
        <v>3635.47</v>
      </c>
      <c r="AC12" s="23">
        <v>0</v>
      </c>
      <c r="AD12" s="23">
        <v>21964</v>
      </c>
      <c r="AE12" s="8">
        <f t="shared" si="8"/>
        <v>3</v>
      </c>
      <c r="AF12" s="23">
        <v>1610.8</v>
      </c>
      <c r="AG12" s="23">
        <v>0</v>
      </c>
      <c r="AH12" s="36">
        <f t="shared" si="9"/>
        <v>261.43</v>
      </c>
      <c r="AI12" s="21">
        <f t="shared" si="10"/>
        <v>40.799999999999272</v>
      </c>
      <c r="AJ12" s="22">
        <f t="shared" si="11"/>
        <v>220.63000000000073</v>
      </c>
      <c r="AK12" s="27">
        <f t="shared" si="12"/>
        <v>600.01999999996042</v>
      </c>
      <c r="AL12" s="40">
        <f t="shared" si="13"/>
        <v>820.64999999996121</v>
      </c>
    </row>
    <row r="13" spans="1:38" ht="25.5" customHeight="1">
      <c r="A13" s="39" t="s">
        <v>346</v>
      </c>
      <c r="B13" s="35">
        <v>3399.33</v>
      </c>
      <c r="C13" s="56">
        <f t="shared" si="14"/>
        <v>113.36000000000013</v>
      </c>
      <c r="D13" s="23">
        <v>7623.78</v>
      </c>
      <c r="E13" s="23">
        <v>538.29999999999995</v>
      </c>
      <c r="F13" s="23">
        <v>0.86699999999999999</v>
      </c>
      <c r="G13" s="23">
        <v>0.45200000000000001</v>
      </c>
      <c r="H13" s="23">
        <v>40</v>
      </c>
      <c r="I13" s="5">
        <f t="shared" si="0"/>
        <v>4.8000000000001819</v>
      </c>
      <c r="J13" s="6">
        <f t="shared" si="1"/>
        <v>643.19999999999709</v>
      </c>
      <c r="K13" s="23">
        <v>227855.08</v>
      </c>
      <c r="L13" s="23">
        <v>0.999</v>
      </c>
      <c r="M13" s="7">
        <f t="shared" si="2"/>
        <v>215.30000000001746</v>
      </c>
      <c r="N13" s="23">
        <v>112</v>
      </c>
      <c r="O13" s="8">
        <f t="shared" si="3"/>
        <v>0</v>
      </c>
      <c r="P13" s="23">
        <v>741.2</v>
      </c>
      <c r="Q13" s="23">
        <v>0</v>
      </c>
      <c r="R13" s="23">
        <v>10955.7</v>
      </c>
      <c r="S13" s="23">
        <v>0.88300000000000001</v>
      </c>
      <c r="T13" s="25">
        <f t="shared" si="4"/>
        <v>46.899999999999636</v>
      </c>
      <c r="U13" s="26">
        <f t="shared" si="5"/>
        <v>905.40000000001419</v>
      </c>
      <c r="V13" s="35">
        <v>59.26</v>
      </c>
      <c r="W13" s="35">
        <v>69.22</v>
      </c>
      <c r="X13" s="35">
        <v>70.099999999999994</v>
      </c>
      <c r="Y13" s="11">
        <f t="shared" si="6"/>
        <v>198.57999999999998</v>
      </c>
      <c r="Z13" s="23">
        <v>7911.55</v>
      </c>
      <c r="AA13" s="8">
        <f t="shared" si="7"/>
        <v>0</v>
      </c>
      <c r="AB13" s="23">
        <v>3638.48</v>
      </c>
      <c r="AC13" s="23">
        <v>0</v>
      </c>
      <c r="AD13" s="23">
        <v>21967</v>
      </c>
      <c r="AE13" s="8">
        <f t="shared" si="8"/>
        <v>0</v>
      </c>
      <c r="AF13" s="23">
        <v>1611</v>
      </c>
      <c r="AG13" s="23">
        <v>0</v>
      </c>
      <c r="AH13" s="36">
        <f t="shared" si="9"/>
        <v>198.57999999999998</v>
      </c>
      <c r="AI13" s="21">
        <f t="shared" si="10"/>
        <v>4.8000000000001819</v>
      </c>
      <c r="AJ13" s="22">
        <f t="shared" si="11"/>
        <v>193.7799999999998</v>
      </c>
      <c r="AK13" s="27">
        <f t="shared" si="12"/>
        <v>905.40000000001419</v>
      </c>
      <c r="AL13" s="40">
        <f t="shared" si="13"/>
        <v>1099.1800000000139</v>
      </c>
    </row>
    <row r="14" spans="1:38" ht="25.5" customHeight="1">
      <c r="A14" s="39" t="s">
        <v>347</v>
      </c>
      <c r="B14" s="23">
        <v>3512.69</v>
      </c>
      <c r="C14" s="56">
        <f t="shared" si="14"/>
        <v>114.11999999999989</v>
      </c>
      <c r="D14" s="23">
        <v>7639.86</v>
      </c>
      <c r="E14" s="23">
        <v>538.41999999999996</v>
      </c>
      <c r="F14" s="23">
        <v>0.87</v>
      </c>
      <c r="G14" s="23">
        <v>0.45100000000000001</v>
      </c>
      <c r="H14" s="23">
        <v>40</v>
      </c>
      <c r="I14" s="5">
        <f t="shared" si="0"/>
        <v>0</v>
      </c>
      <c r="J14" s="6">
        <f t="shared" si="1"/>
        <v>422.80000000002474</v>
      </c>
      <c r="K14" s="23">
        <v>228070.38</v>
      </c>
      <c r="L14" s="23">
        <v>0.999</v>
      </c>
      <c r="M14" s="7">
        <f t="shared" si="2"/>
        <v>105.55999999999767</v>
      </c>
      <c r="N14" s="23">
        <v>112</v>
      </c>
      <c r="O14" s="8">
        <f t="shared" si="3"/>
        <v>0</v>
      </c>
      <c r="P14" s="23">
        <v>741.2</v>
      </c>
      <c r="Q14" s="23">
        <v>0</v>
      </c>
      <c r="R14" s="23">
        <v>11002.6</v>
      </c>
      <c r="S14" s="23">
        <v>0.88300000000000001</v>
      </c>
      <c r="T14" s="25">
        <f t="shared" si="4"/>
        <v>121.5</v>
      </c>
      <c r="U14" s="26">
        <f t="shared" si="5"/>
        <v>649.86000000002241</v>
      </c>
      <c r="V14" s="35">
        <v>0</v>
      </c>
      <c r="W14" s="35">
        <v>0</v>
      </c>
      <c r="X14" s="35">
        <v>0</v>
      </c>
      <c r="Y14" s="11">
        <f t="shared" si="6"/>
        <v>0</v>
      </c>
      <c r="Z14" s="23">
        <v>7911.55</v>
      </c>
      <c r="AA14" s="8">
        <f t="shared" si="7"/>
        <v>44.579999999999927</v>
      </c>
      <c r="AB14" s="23">
        <v>3638.48</v>
      </c>
      <c r="AC14" s="23">
        <v>100</v>
      </c>
      <c r="AD14" s="23">
        <v>21967</v>
      </c>
      <c r="AE14" s="8">
        <f t="shared" si="8"/>
        <v>97</v>
      </c>
      <c r="AF14" s="23">
        <v>1611</v>
      </c>
      <c r="AG14" s="23">
        <v>0</v>
      </c>
      <c r="AH14" s="36">
        <f t="shared" si="9"/>
        <v>0</v>
      </c>
      <c r="AI14" s="21">
        <f t="shared" si="10"/>
        <v>0</v>
      </c>
      <c r="AJ14" s="22">
        <f t="shared" si="11"/>
        <v>0</v>
      </c>
      <c r="AK14" s="27">
        <f t="shared" si="12"/>
        <v>791.44000000002234</v>
      </c>
      <c r="AL14" s="40">
        <f t="shared" si="13"/>
        <v>791.44000000002234</v>
      </c>
    </row>
    <row r="15" spans="1:38" ht="25.5" customHeight="1">
      <c r="A15" s="39" t="s">
        <v>348</v>
      </c>
      <c r="B15" s="23">
        <v>3626.81</v>
      </c>
      <c r="C15" s="56">
        <f t="shared" si="14"/>
        <v>87.349999999999909</v>
      </c>
      <c r="D15" s="23">
        <v>7650.43</v>
      </c>
      <c r="E15" s="23">
        <v>538.41999999999996</v>
      </c>
      <c r="F15" s="23">
        <v>0.874</v>
      </c>
      <c r="G15" s="23">
        <v>0.45100000000000001</v>
      </c>
      <c r="H15" s="23">
        <v>40</v>
      </c>
      <c r="I15" s="5">
        <f t="shared" si="0"/>
        <v>3.2000000000016371</v>
      </c>
      <c r="J15" s="6">
        <f t="shared" si="1"/>
        <v>785.20000000000437</v>
      </c>
      <c r="K15" s="23">
        <v>228175.94</v>
      </c>
      <c r="L15" s="23">
        <v>0.999</v>
      </c>
      <c r="M15" s="7">
        <f t="shared" si="2"/>
        <v>111.30999999999767</v>
      </c>
      <c r="N15" s="23">
        <v>112</v>
      </c>
      <c r="O15" s="8">
        <f t="shared" si="3"/>
        <v>0</v>
      </c>
      <c r="P15" s="23">
        <v>741.2</v>
      </c>
      <c r="Q15" s="23">
        <v>0</v>
      </c>
      <c r="R15" s="23">
        <v>11124.1</v>
      </c>
      <c r="S15" s="23">
        <v>0.88300000000000001</v>
      </c>
      <c r="T15" s="25">
        <f t="shared" si="4"/>
        <v>107.5</v>
      </c>
      <c r="U15" s="26">
        <f t="shared" si="5"/>
        <v>1004.010000000002</v>
      </c>
      <c r="V15" s="35">
        <v>0</v>
      </c>
      <c r="W15" s="35">
        <v>0</v>
      </c>
      <c r="X15" s="35">
        <v>0</v>
      </c>
      <c r="Y15" s="11">
        <f t="shared" si="6"/>
        <v>0</v>
      </c>
      <c r="Z15" s="23">
        <v>7956.13</v>
      </c>
      <c r="AA15" s="8">
        <f t="shared" si="7"/>
        <v>0</v>
      </c>
      <c r="AB15" s="23">
        <v>3638.48</v>
      </c>
      <c r="AC15" s="23">
        <v>0</v>
      </c>
      <c r="AD15" s="23">
        <v>22064</v>
      </c>
      <c r="AE15" s="8">
        <f t="shared" si="8"/>
        <v>0</v>
      </c>
      <c r="AF15" s="23">
        <v>1614.8</v>
      </c>
      <c r="AG15" s="23">
        <v>0</v>
      </c>
      <c r="AH15" s="36">
        <f t="shared" si="9"/>
        <v>0</v>
      </c>
      <c r="AI15" s="21">
        <f t="shared" si="10"/>
        <v>3.2000000000016371</v>
      </c>
      <c r="AJ15" s="22">
        <f t="shared" si="11"/>
        <v>-3.2000000000016371</v>
      </c>
      <c r="AK15" s="27">
        <f t="shared" si="12"/>
        <v>1004.010000000002</v>
      </c>
      <c r="AL15" s="40">
        <f t="shared" si="13"/>
        <v>1000.8100000000004</v>
      </c>
    </row>
    <row r="16" spans="1:38" ht="25.5" customHeight="1">
      <c r="A16" s="39" t="s">
        <v>349</v>
      </c>
      <c r="B16" s="23">
        <v>3714.16</v>
      </c>
      <c r="C16" s="56">
        <f t="shared" si="14"/>
        <v>79.75</v>
      </c>
      <c r="D16" s="23">
        <v>7670.06</v>
      </c>
      <c r="E16" s="23">
        <v>538.5</v>
      </c>
      <c r="F16" s="23">
        <v>0.879</v>
      </c>
      <c r="G16" s="23">
        <v>0.45100000000000001</v>
      </c>
      <c r="H16" s="23">
        <v>40</v>
      </c>
      <c r="I16" s="5">
        <f t="shared" si="0"/>
        <v>24.000000000000909</v>
      </c>
      <c r="J16" s="6">
        <f t="shared" si="1"/>
        <v>514.3999999999869</v>
      </c>
      <c r="K16" s="23">
        <v>228287.25</v>
      </c>
      <c r="L16" s="23">
        <v>0.999</v>
      </c>
      <c r="M16" s="7">
        <f t="shared" si="2"/>
        <v>150.27999999999884</v>
      </c>
      <c r="N16" s="23">
        <v>112</v>
      </c>
      <c r="O16" s="8">
        <f t="shared" si="3"/>
        <v>0</v>
      </c>
      <c r="P16" s="23">
        <v>741.4</v>
      </c>
      <c r="Q16" s="23">
        <v>0</v>
      </c>
      <c r="R16" s="23">
        <v>11231.6</v>
      </c>
      <c r="S16" s="23">
        <v>0.88300000000000001</v>
      </c>
      <c r="T16" s="25">
        <f t="shared" si="4"/>
        <v>136.29999999999927</v>
      </c>
      <c r="U16" s="26">
        <f t="shared" si="5"/>
        <v>800.97999999998501</v>
      </c>
      <c r="V16" s="35">
        <v>33.909999999999997</v>
      </c>
      <c r="W16" s="35">
        <v>57.46</v>
      </c>
      <c r="X16" s="35">
        <v>70.459999999999994</v>
      </c>
      <c r="Y16" s="11">
        <f t="shared" si="6"/>
        <v>161.82999999999998</v>
      </c>
      <c r="Z16" s="23">
        <v>7956.13</v>
      </c>
      <c r="AA16" s="8">
        <f t="shared" si="7"/>
        <v>0</v>
      </c>
      <c r="AB16" s="23">
        <v>3636.31</v>
      </c>
      <c r="AC16" s="23">
        <v>0</v>
      </c>
      <c r="AD16" s="23">
        <v>22064</v>
      </c>
      <c r="AE16" s="8">
        <f t="shared" si="8"/>
        <v>0</v>
      </c>
      <c r="AF16" s="23">
        <v>1614.8</v>
      </c>
      <c r="AG16" s="23">
        <v>0</v>
      </c>
      <c r="AH16" s="36">
        <f t="shared" si="9"/>
        <v>161.82999999999998</v>
      </c>
      <c r="AI16" s="21">
        <f t="shared" si="10"/>
        <v>24.000000000000909</v>
      </c>
      <c r="AJ16" s="22">
        <f t="shared" si="11"/>
        <v>137.82999999999907</v>
      </c>
      <c r="AK16" s="27">
        <f t="shared" si="12"/>
        <v>800.97999999998501</v>
      </c>
      <c r="AL16" s="40">
        <f t="shared" si="13"/>
        <v>938.80999999998403</v>
      </c>
    </row>
    <row r="17" spans="1:38" ht="25.5" customHeight="1">
      <c r="A17" s="39" t="s">
        <v>350</v>
      </c>
      <c r="B17" s="23">
        <v>3793.91</v>
      </c>
      <c r="C17" s="56">
        <f t="shared" si="14"/>
        <v>39.059999999999945</v>
      </c>
      <c r="D17" s="23">
        <v>7682.92</v>
      </c>
      <c r="E17" s="23">
        <v>539.1</v>
      </c>
      <c r="F17" s="23">
        <v>0.879</v>
      </c>
      <c r="G17" s="23">
        <v>0.46600000000000003</v>
      </c>
      <c r="H17" s="23">
        <v>40</v>
      </c>
      <c r="I17" s="5">
        <f t="shared" si="0"/>
        <v>11.999999999998181</v>
      </c>
      <c r="J17" s="6">
        <f t="shared" si="1"/>
        <v>220</v>
      </c>
      <c r="K17" s="23">
        <v>228437.53</v>
      </c>
      <c r="L17" s="23">
        <v>0.999</v>
      </c>
      <c r="M17" s="7">
        <f t="shared" si="2"/>
        <v>155.79999999998836</v>
      </c>
      <c r="N17" s="23">
        <v>112</v>
      </c>
      <c r="O17" s="8">
        <f t="shared" si="3"/>
        <v>0</v>
      </c>
      <c r="P17" s="23">
        <v>741.4</v>
      </c>
      <c r="Q17" s="23">
        <v>0</v>
      </c>
      <c r="R17" s="23">
        <v>11367.9</v>
      </c>
      <c r="S17" s="23">
        <v>0.88300000000000001</v>
      </c>
      <c r="T17" s="25">
        <f t="shared" si="4"/>
        <v>111</v>
      </c>
      <c r="U17" s="26">
        <f t="shared" si="5"/>
        <v>486.79999999998836</v>
      </c>
      <c r="V17" s="35">
        <v>47.96</v>
      </c>
      <c r="W17" s="35">
        <v>42.07</v>
      </c>
      <c r="X17" s="35">
        <v>60.68</v>
      </c>
      <c r="Y17" s="11">
        <f t="shared" si="6"/>
        <v>150.71</v>
      </c>
      <c r="Z17" s="23">
        <v>7956.13</v>
      </c>
      <c r="AA17" s="8">
        <f t="shared" si="7"/>
        <v>0</v>
      </c>
      <c r="AB17" s="58">
        <v>3636.31</v>
      </c>
      <c r="AC17" s="23">
        <v>0</v>
      </c>
      <c r="AD17" s="23">
        <v>22064</v>
      </c>
      <c r="AE17" s="8">
        <f t="shared" si="8"/>
        <v>0</v>
      </c>
      <c r="AF17" s="23">
        <v>1614.8</v>
      </c>
      <c r="AG17" s="23">
        <v>0</v>
      </c>
      <c r="AH17" s="36">
        <f t="shared" si="9"/>
        <v>150.71</v>
      </c>
      <c r="AI17" s="21">
        <f t="shared" si="10"/>
        <v>11.999999999998181</v>
      </c>
      <c r="AJ17" s="22">
        <f t="shared" si="11"/>
        <v>138.71000000000183</v>
      </c>
      <c r="AK17" s="27">
        <f t="shared" si="12"/>
        <v>486.79999999998836</v>
      </c>
      <c r="AL17" s="40">
        <f t="shared" si="13"/>
        <v>625.50999999999021</v>
      </c>
    </row>
    <row r="18" spans="1:38" ht="25.5" customHeight="1">
      <c r="A18" s="39" t="s">
        <v>351</v>
      </c>
      <c r="B18" s="23">
        <v>3832.97</v>
      </c>
      <c r="C18" s="56">
        <f t="shared" si="14"/>
        <v>78.190000000000055</v>
      </c>
      <c r="D18" s="23">
        <v>7688.42</v>
      </c>
      <c r="E18" s="23">
        <v>539.4</v>
      </c>
      <c r="F18" s="23">
        <v>0.88</v>
      </c>
      <c r="G18" s="23">
        <v>0.47</v>
      </c>
      <c r="H18" s="23">
        <v>40</v>
      </c>
      <c r="I18" s="5">
        <f t="shared" si="0"/>
        <v>6.8000000000029104</v>
      </c>
      <c r="J18" s="6">
        <f t="shared" si="1"/>
        <v>1035.2000000000044</v>
      </c>
      <c r="K18" s="23">
        <v>228593.33</v>
      </c>
      <c r="L18" s="23">
        <v>0.999</v>
      </c>
      <c r="M18" s="7">
        <f t="shared" si="2"/>
        <v>122.41000000000349</v>
      </c>
      <c r="N18" s="23">
        <v>112</v>
      </c>
      <c r="O18" s="8">
        <f t="shared" si="3"/>
        <v>0</v>
      </c>
      <c r="P18" s="23">
        <v>741.4</v>
      </c>
      <c r="Q18" s="23">
        <v>0</v>
      </c>
      <c r="R18" s="23">
        <v>11478.9</v>
      </c>
      <c r="S18" s="23">
        <v>0.88300000000000001</v>
      </c>
      <c r="T18" s="25">
        <f t="shared" si="4"/>
        <v>139</v>
      </c>
      <c r="U18" s="26">
        <f t="shared" si="5"/>
        <v>1296.6100000000079</v>
      </c>
      <c r="V18" s="35">
        <v>47.96</v>
      </c>
      <c r="W18" s="35">
        <v>42.07</v>
      </c>
      <c r="X18" s="35">
        <v>60.68</v>
      </c>
      <c r="Y18" s="11">
        <f t="shared" si="6"/>
        <v>150.71</v>
      </c>
      <c r="Z18" s="23">
        <v>7956.13</v>
      </c>
      <c r="AA18" s="8">
        <f t="shared" si="7"/>
        <v>0</v>
      </c>
      <c r="AB18" s="23">
        <v>3636.32</v>
      </c>
      <c r="AC18" s="23">
        <v>0</v>
      </c>
      <c r="AD18" s="23">
        <v>22064</v>
      </c>
      <c r="AE18" s="8">
        <f t="shared" si="8"/>
        <v>0</v>
      </c>
      <c r="AF18" s="23">
        <v>1614.8</v>
      </c>
      <c r="AG18" s="23">
        <v>0</v>
      </c>
      <c r="AH18" s="36">
        <f t="shared" si="9"/>
        <v>150.71</v>
      </c>
      <c r="AI18" s="21">
        <f t="shared" si="10"/>
        <v>6.8000000000029104</v>
      </c>
      <c r="AJ18" s="22">
        <f t="shared" si="11"/>
        <v>143.9099999999971</v>
      </c>
      <c r="AK18" s="27">
        <f t="shared" si="12"/>
        <v>1296.6100000000079</v>
      </c>
      <c r="AL18" s="40">
        <f t="shared" si="13"/>
        <v>1440.520000000005</v>
      </c>
    </row>
    <row r="19" spans="1:38" ht="25.5" customHeight="1">
      <c r="A19" s="39" t="s">
        <v>352</v>
      </c>
      <c r="B19" s="23">
        <v>3911.16</v>
      </c>
      <c r="C19" s="56">
        <f t="shared" si="14"/>
        <v>86.070000000000164</v>
      </c>
      <c r="D19" s="23">
        <v>7714.3</v>
      </c>
      <c r="E19" s="23">
        <v>539.57000000000005</v>
      </c>
      <c r="F19" s="23">
        <v>0.88</v>
      </c>
      <c r="G19" s="23">
        <v>0.46</v>
      </c>
      <c r="H19" s="23">
        <v>40</v>
      </c>
      <c r="I19" s="5">
        <f t="shared" si="0"/>
        <v>1.999999999998181</v>
      </c>
      <c r="J19" s="6">
        <f t="shared" si="1"/>
        <v>643.99999999997817</v>
      </c>
      <c r="K19" s="23">
        <v>228715.74</v>
      </c>
      <c r="L19" s="23">
        <v>0.999</v>
      </c>
      <c r="M19" s="7">
        <f t="shared" si="2"/>
        <v>118.92000000001281</v>
      </c>
      <c r="N19" s="23">
        <v>112</v>
      </c>
      <c r="O19" s="8">
        <f t="shared" si="3"/>
        <v>0</v>
      </c>
      <c r="P19" s="23">
        <v>741.4</v>
      </c>
      <c r="Q19" s="23">
        <v>0</v>
      </c>
      <c r="R19" s="23">
        <v>11617.9</v>
      </c>
      <c r="S19" s="23">
        <v>0.88300000000000001</v>
      </c>
      <c r="T19" s="25">
        <f t="shared" si="4"/>
        <v>156.60000000000036</v>
      </c>
      <c r="U19" s="26">
        <f t="shared" si="5"/>
        <v>919.51999999999134</v>
      </c>
      <c r="V19" s="35">
        <v>71.88</v>
      </c>
      <c r="W19" s="35">
        <v>66.73</v>
      </c>
      <c r="X19" s="35">
        <v>62.9</v>
      </c>
      <c r="Y19" s="11">
        <f t="shared" si="6"/>
        <v>201.51000000000002</v>
      </c>
      <c r="Z19" s="23">
        <v>7956.13</v>
      </c>
      <c r="AA19" s="8">
        <f t="shared" si="7"/>
        <v>1.0299999999997453</v>
      </c>
      <c r="AB19" s="23">
        <v>3636.32</v>
      </c>
      <c r="AC19" s="23">
        <v>0</v>
      </c>
      <c r="AD19" s="23">
        <v>22064</v>
      </c>
      <c r="AE19" s="8">
        <f t="shared" si="8"/>
        <v>15</v>
      </c>
      <c r="AF19" s="23">
        <v>1614.8</v>
      </c>
      <c r="AG19" s="23">
        <v>50</v>
      </c>
      <c r="AH19" s="36">
        <f t="shared" si="9"/>
        <v>201.51000000000002</v>
      </c>
      <c r="AI19" s="21">
        <f t="shared" si="10"/>
        <v>1.999999999998181</v>
      </c>
      <c r="AJ19" s="22">
        <f t="shared" si="11"/>
        <v>199.51000000000184</v>
      </c>
      <c r="AK19" s="27">
        <f t="shared" si="12"/>
        <v>935.54999999999109</v>
      </c>
      <c r="AL19" s="40">
        <f t="shared" si="13"/>
        <v>1135.0599999999929</v>
      </c>
    </row>
    <row r="20" spans="1:38" ht="25.5" customHeight="1">
      <c r="A20" s="39" t="s">
        <v>353</v>
      </c>
      <c r="B20" s="23">
        <v>3997.23</v>
      </c>
      <c r="C20" s="56">
        <f t="shared" si="14"/>
        <v>94.090000000000146</v>
      </c>
      <c r="D20" s="23">
        <v>7730.4</v>
      </c>
      <c r="E20" s="23">
        <v>539.62</v>
      </c>
      <c r="F20" s="23">
        <v>0.88400000000000001</v>
      </c>
      <c r="G20" s="23">
        <v>0.45900000000000002</v>
      </c>
      <c r="H20" s="23">
        <v>40</v>
      </c>
      <c r="I20" s="5">
        <f t="shared" si="0"/>
        <v>-24.800000000000182</v>
      </c>
      <c r="J20" s="6">
        <f t="shared" si="1"/>
        <v>724.00000000001455</v>
      </c>
      <c r="K20" s="23">
        <v>228834.66</v>
      </c>
      <c r="L20" s="23">
        <v>0.999</v>
      </c>
      <c r="M20" s="7">
        <f t="shared" si="2"/>
        <v>105.29999999998836</v>
      </c>
      <c r="N20" s="23">
        <v>112</v>
      </c>
      <c r="O20" s="8">
        <f t="shared" si="3"/>
        <v>0</v>
      </c>
      <c r="P20" s="23">
        <v>741.4</v>
      </c>
      <c r="Q20" s="23">
        <v>0</v>
      </c>
      <c r="R20" s="23">
        <v>11774.5</v>
      </c>
      <c r="S20" s="23">
        <v>0.88300000000000001</v>
      </c>
      <c r="T20" s="25">
        <f t="shared" si="4"/>
        <v>147.89999999999964</v>
      </c>
      <c r="U20" s="26">
        <f t="shared" si="5"/>
        <v>977.20000000000255</v>
      </c>
      <c r="V20" s="35">
        <v>40.590000000000003</v>
      </c>
      <c r="W20" s="35">
        <v>40.43</v>
      </c>
      <c r="X20" s="35">
        <v>37.200000000000003</v>
      </c>
      <c r="Y20" s="11">
        <f t="shared" si="6"/>
        <v>118.22000000000001</v>
      </c>
      <c r="Z20" s="23">
        <v>7957.16</v>
      </c>
      <c r="AA20" s="8">
        <f t="shared" si="7"/>
        <v>0</v>
      </c>
      <c r="AB20" s="23">
        <v>3636.68</v>
      </c>
      <c r="AC20" s="23">
        <v>0</v>
      </c>
      <c r="AD20" s="23">
        <v>22079</v>
      </c>
      <c r="AE20" s="8">
        <f t="shared" si="8"/>
        <v>112</v>
      </c>
      <c r="AF20" s="23">
        <v>1615.5</v>
      </c>
      <c r="AG20" s="23">
        <v>0</v>
      </c>
      <c r="AH20" s="36">
        <f t="shared" si="9"/>
        <v>118.22000000000001</v>
      </c>
      <c r="AI20" s="21">
        <f t="shared" si="10"/>
        <v>-24.800000000000182</v>
      </c>
      <c r="AJ20" s="22">
        <f t="shared" si="11"/>
        <v>143.02000000000021</v>
      </c>
      <c r="AK20" s="27">
        <f t="shared" si="12"/>
        <v>1089.2000000000025</v>
      </c>
      <c r="AL20" s="40">
        <f t="shared" si="13"/>
        <v>1232.2200000000028</v>
      </c>
    </row>
    <row r="21" spans="1:38" ht="25.5" customHeight="1">
      <c r="A21" s="39" t="s">
        <v>354</v>
      </c>
      <c r="B21" s="23">
        <v>4091.32</v>
      </c>
      <c r="C21" s="56">
        <f t="shared" si="14"/>
        <v>87.700000000000273</v>
      </c>
      <c r="D21" s="23">
        <v>7748.5</v>
      </c>
      <c r="E21" s="23">
        <v>539</v>
      </c>
      <c r="F21" s="23">
        <v>0.88500000000000001</v>
      </c>
      <c r="G21" s="23">
        <v>0.45700000000000002</v>
      </c>
      <c r="H21" s="23">
        <v>40</v>
      </c>
      <c r="I21" s="5">
        <f t="shared" si="0"/>
        <v>30.399999999999636</v>
      </c>
      <c r="J21" s="6">
        <f t="shared" si="1"/>
        <v>743.19999999999709</v>
      </c>
      <c r="K21" s="23">
        <v>228939.96</v>
      </c>
      <c r="L21" s="23">
        <v>0.999</v>
      </c>
      <c r="M21" s="7">
        <f t="shared" si="2"/>
        <v>138.97000000000116</v>
      </c>
      <c r="N21" s="23">
        <v>112</v>
      </c>
      <c r="O21" s="8">
        <f t="shared" si="3"/>
        <v>0</v>
      </c>
      <c r="P21" s="23">
        <v>743.7</v>
      </c>
      <c r="Q21" s="23">
        <v>0</v>
      </c>
      <c r="R21" s="23">
        <v>11922.4</v>
      </c>
      <c r="S21" s="23">
        <v>0.88300000000000001</v>
      </c>
      <c r="T21" s="25">
        <f t="shared" si="4"/>
        <v>125.70000000000073</v>
      </c>
      <c r="U21" s="26">
        <f t="shared" si="5"/>
        <v>1007.869999999999</v>
      </c>
      <c r="V21" s="35">
        <v>40.590000000000003</v>
      </c>
      <c r="W21" s="35">
        <v>40.43</v>
      </c>
      <c r="X21" s="35">
        <v>37.200000000000003</v>
      </c>
      <c r="Y21" s="11">
        <f t="shared" si="6"/>
        <v>118.22000000000001</v>
      </c>
      <c r="Z21" s="23">
        <v>7957.16</v>
      </c>
      <c r="AA21" s="8">
        <f t="shared" si="7"/>
        <v>0</v>
      </c>
      <c r="AB21" s="23">
        <v>3636.68</v>
      </c>
      <c r="AC21" s="23">
        <v>0</v>
      </c>
      <c r="AD21" s="23">
        <v>22191</v>
      </c>
      <c r="AE21" s="8">
        <f t="shared" si="8"/>
        <v>0</v>
      </c>
      <c r="AF21" s="23">
        <v>1621.7</v>
      </c>
      <c r="AG21" s="23">
        <v>0</v>
      </c>
      <c r="AH21" s="36">
        <f t="shared" si="9"/>
        <v>118.22000000000001</v>
      </c>
      <c r="AI21" s="21">
        <f t="shared" si="10"/>
        <v>30.399999999999636</v>
      </c>
      <c r="AJ21" s="22">
        <f t="shared" si="11"/>
        <v>87.820000000000377</v>
      </c>
      <c r="AK21" s="27">
        <f t="shared" si="12"/>
        <v>1007.869999999999</v>
      </c>
      <c r="AL21" s="40">
        <f t="shared" si="13"/>
        <v>1095.6899999999994</v>
      </c>
    </row>
    <row r="22" spans="1:38" ht="25.5" customHeight="1">
      <c r="A22" s="39" t="s">
        <v>355</v>
      </c>
      <c r="B22" s="23">
        <v>4179.0200000000004</v>
      </c>
      <c r="C22" s="56">
        <f t="shared" si="14"/>
        <v>39.25</v>
      </c>
      <c r="D22" s="23">
        <v>7767.08</v>
      </c>
      <c r="E22" s="23">
        <v>539.76</v>
      </c>
      <c r="F22" s="23">
        <v>0.88700000000000001</v>
      </c>
      <c r="G22" s="23">
        <v>0.46100000000000002</v>
      </c>
      <c r="H22" s="23">
        <v>40</v>
      </c>
      <c r="I22" s="5">
        <f t="shared" si="0"/>
        <v>0</v>
      </c>
      <c r="J22" s="6">
        <f t="shared" si="1"/>
        <v>434.3999999999869</v>
      </c>
      <c r="K22" s="23">
        <v>229078.93</v>
      </c>
      <c r="L22" s="23">
        <v>0.999</v>
      </c>
      <c r="M22" s="7">
        <f t="shared" si="2"/>
        <v>122.58999999999651</v>
      </c>
      <c r="N22" s="23">
        <v>112</v>
      </c>
      <c r="O22" s="38">
        <v>0</v>
      </c>
      <c r="P22" s="23">
        <v>743.7</v>
      </c>
      <c r="Q22" s="23">
        <v>0</v>
      </c>
      <c r="R22" s="23">
        <v>12048.1</v>
      </c>
      <c r="S22" s="23">
        <v>0.88300000000000001</v>
      </c>
      <c r="T22" s="25">
        <f t="shared" si="4"/>
        <v>100</v>
      </c>
      <c r="U22" s="26">
        <f t="shared" si="5"/>
        <v>656.98999999998341</v>
      </c>
      <c r="V22" s="35">
        <v>27.16</v>
      </c>
      <c r="W22" s="35">
        <v>28.58</v>
      </c>
      <c r="X22" s="35">
        <v>24.83</v>
      </c>
      <c r="Y22" s="11">
        <f t="shared" si="6"/>
        <v>80.569999999999993</v>
      </c>
      <c r="Z22" s="23">
        <v>7957.16</v>
      </c>
      <c r="AA22" s="8">
        <f t="shared" si="7"/>
        <v>0</v>
      </c>
      <c r="AB22" s="23">
        <v>3636.68</v>
      </c>
      <c r="AC22" s="23">
        <v>0</v>
      </c>
      <c r="AD22" s="23">
        <v>22191</v>
      </c>
      <c r="AE22" s="8">
        <f t="shared" si="8"/>
        <v>26</v>
      </c>
      <c r="AF22" s="23">
        <v>1621.7</v>
      </c>
      <c r="AG22" s="23">
        <v>0</v>
      </c>
      <c r="AH22" s="36">
        <f t="shared" si="9"/>
        <v>80.569999999999993</v>
      </c>
      <c r="AI22" s="21">
        <f t="shared" si="10"/>
        <v>0</v>
      </c>
      <c r="AJ22" s="22">
        <f t="shared" si="11"/>
        <v>80.569999999999993</v>
      </c>
      <c r="AK22" s="27">
        <f t="shared" si="12"/>
        <v>682.98999999998341</v>
      </c>
      <c r="AL22" s="40">
        <f t="shared" si="13"/>
        <v>763.55999999998335</v>
      </c>
    </row>
    <row r="23" spans="1:38" ht="25.5" customHeight="1">
      <c r="A23" s="39" t="s">
        <v>356</v>
      </c>
      <c r="B23" s="23">
        <v>4218.2700000000004</v>
      </c>
      <c r="C23" s="56">
        <f t="shared" si="14"/>
        <v>39.259999999999309</v>
      </c>
      <c r="D23" s="23">
        <v>7777.94</v>
      </c>
      <c r="E23" s="23">
        <v>539.76</v>
      </c>
      <c r="F23" s="23">
        <v>0.88900000000000001</v>
      </c>
      <c r="G23" s="23">
        <v>0.46100000000000002</v>
      </c>
      <c r="H23" s="23">
        <v>40</v>
      </c>
      <c r="I23" s="5">
        <f t="shared" si="0"/>
        <v>1.1999999999989086</v>
      </c>
      <c r="J23" s="6">
        <f t="shared" si="1"/>
        <v>524.80000000003201</v>
      </c>
      <c r="K23" s="23">
        <v>229201.52</v>
      </c>
      <c r="L23" s="23">
        <v>0.999</v>
      </c>
      <c r="M23" s="7">
        <f t="shared" si="2"/>
        <v>182.49000000001979</v>
      </c>
      <c r="N23" s="23">
        <v>112</v>
      </c>
      <c r="O23" s="8">
        <f t="shared" ref="O23:O33" si="15">(N24-N23)</f>
        <v>0</v>
      </c>
      <c r="P23" s="23">
        <v>743.7</v>
      </c>
      <c r="Q23" s="23">
        <v>0</v>
      </c>
      <c r="R23" s="23">
        <v>12148.1</v>
      </c>
      <c r="S23" s="23">
        <v>0.88300000000000001</v>
      </c>
      <c r="T23" s="25">
        <f t="shared" si="4"/>
        <v>77.399999999999636</v>
      </c>
      <c r="U23" s="26">
        <f t="shared" si="5"/>
        <v>784.69000000005144</v>
      </c>
      <c r="V23" s="35">
        <v>13.74</v>
      </c>
      <c r="W23" s="35">
        <v>14.65</v>
      </c>
      <c r="X23" s="35">
        <v>46.19</v>
      </c>
      <c r="Y23" s="11">
        <f t="shared" si="6"/>
        <v>74.58</v>
      </c>
      <c r="Z23" s="23">
        <v>7957.16</v>
      </c>
      <c r="AA23" s="8">
        <f t="shared" si="7"/>
        <v>0</v>
      </c>
      <c r="AB23" s="23">
        <v>3636.68</v>
      </c>
      <c r="AC23" s="23">
        <v>0</v>
      </c>
      <c r="AD23" s="23">
        <v>22217</v>
      </c>
      <c r="AE23" s="8">
        <f t="shared" si="8"/>
        <v>0</v>
      </c>
      <c r="AF23" s="23">
        <v>1623.1</v>
      </c>
      <c r="AG23" s="23">
        <v>0</v>
      </c>
      <c r="AH23" s="36">
        <f t="shared" si="9"/>
        <v>74.58</v>
      </c>
      <c r="AI23" s="21">
        <f t="shared" si="10"/>
        <v>1.1999999999989086</v>
      </c>
      <c r="AJ23" s="22">
        <f t="shared" si="11"/>
        <v>73.38000000000109</v>
      </c>
      <c r="AK23" s="27">
        <f t="shared" si="12"/>
        <v>784.69000000005144</v>
      </c>
      <c r="AL23" s="40">
        <f t="shared" si="13"/>
        <v>858.07000000005257</v>
      </c>
    </row>
    <row r="24" spans="1:38" ht="25.5" customHeight="1">
      <c r="A24" s="39" t="s">
        <v>357</v>
      </c>
      <c r="B24" s="23">
        <v>4257.53</v>
      </c>
      <c r="C24" s="56">
        <f t="shared" si="14"/>
        <v>75.150000000000546</v>
      </c>
      <c r="D24" s="23">
        <v>7791.06</v>
      </c>
      <c r="E24" s="23">
        <v>539.79</v>
      </c>
      <c r="F24" s="23">
        <v>0.89</v>
      </c>
      <c r="G24" s="23">
        <v>0.46100000000000002</v>
      </c>
      <c r="H24" s="23">
        <v>40</v>
      </c>
      <c r="I24" s="5">
        <f t="shared" si="0"/>
        <v>4.8000000000001819</v>
      </c>
      <c r="J24" s="6">
        <f t="shared" si="1"/>
        <v>703.19999999999709</v>
      </c>
      <c r="K24" s="23">
        <v>229384.01</v>
      </c>
      <c r="L24" s="23">
        <v>0.999</v>
      </c>
      <c r="M24" s="7">
        <f t="shared" si="2"/>
        <v>133</v>
      </c>
      <c r="N24" s="23">
        <v>112</v>
      </c>
      <c r="O24" s="8">
        <f t="shared" si="15"/>
        <v>0</v>
      </c>
      <c r="P24" s="23">
        <v>743.7</v>
      </c>
      <c r="Q24" s="23">
        <v>0</v>
      </c>
      <c r="R24" s="23">
        <v>12225.5</v>
      </c>
      <c r="S24" s="23">
        <v>0.88300000000000001</v>
      </c>
      <c r="T24" s="25">
        <f t="shared" si="4"/>
        <v>77.100000000000364</v>
      </c>
      <c r="U24" s="26">
        <f t="shared" si="5"/>
        <v>913.29999999999745</v>
      </c>
      <c r="V24" s="35">
        <v>51.97</v>
      </c>
      <c r="W24" s="35">
        <v>52.55</v>
      </c>
      <c r="X24" s="35">
        <v>50.36</v>
      </c>
      <c r="Y24" s="11">
        <f t="shared" si="6"/>
        <v>154.88</v>
      </c>
      <c r="Z24" s="23">
        <v>7957.16</v>
      </c>
      <c r="AA24" s="8">
        <f t="shared" si="7"/>
        <v>0</v>
      </c>
      <c r="AB24" s="23">
        <v>3636.68</v>
      </c>
      <c r="AC24" s="23">
        <v>0</v>
      </c>
      <c r="AD24" s="23">
        <v>22217</v>
      </c>
      <c r="AE24" s="8">
        <f t="shared" si="8"/>
        <v>0</v>
      </c>
      <c r="AF24" s="23">
        <v>1623.1</v>
      </c>
      <c r="AG24" s="23">
        <v>0</v>
      </c>
      <c r="AH24" s="36">
        <f t="shared" si="9"/>
        <v>154.88</v>
      </c>
      <c r="AI24" s="21">
        <f t="shared" si="10"/>
        <v>4.8000000000001819</v>
      </c>
      <c r="AJ24" s="22">
        <f t="shared" si="11"/>
        <v>150.07999999999981</v>
      </c>
      <c r="AK24" s="27">
        <f t="shared" si="12"/>
        <v>913.29999999999745</v>
      </c>
      <c r="AL24" s="40">
        <f t="shared" si="13"/>
        <v>1063.3799999999974</v>
      </c>
    </row>
    <row r="25" spans="1:38" ht="25.5" customHeight="1">
      <c r="A25" s="39" t="s">
        <v>358</v>
      </c>
      <c r="B25" s="23">
        <v>4332.68</v>
      </c>
      <c r="C25" s="56">
        <f t="shared" si="14"/>
        <v>86.340000000000146</v>
      </c>
      <c r="D25" s="23">
        <v>7808.64</v>
      </c>
      <c r="E25" s="23">
        <v>539.91</v>
      </c>
      <c r="F25" s="23">
        <v>0.88900000000000001</v>
      </c>
      <c r="G25" s="23">
        <v>0.45800000000000002</v>
      </c>
      <c r="H25" s="23">
        <v>40</v>
      </c>
      <c r="I25" s="5">
        <f t="shared" si="0"/>
        <v>1.2000000000034561</v>
      </c>
      <c r="J25" s="6">
        <f t="shared" si="1"/>
        <v>652.39999999997963</v>
      </c>
      <c r="K25" s="23">
        <v>229517.01</v>
      </c>
      <c r="L25" s="23">
        <v>0.999</v>
      </c>
      <c r="M25" s="7">
        <f t="shared" si="2"/>
        <v>164.75</v>
      </c>
      <c r="N25" s="23">
        <v>112</v>
      </c>
      <c r="O25" s="8">
        <f t="shared" si="15"/>
        <v>0</v>
      </c>
      <c r="P25" s="23">
        <v>743.7</v>
      </c>
      <c r="Q25" s="23">
        <v>0</v>
      </c>
      <c r="R25" s="23">
        <v>12302.6</v>
      </c>
      <c r="S25" s="23">
        <v>0.88300000000000001</v>
      </c>
      <c r="T25" s="25">
        <f t="shared" si="4"/>
        <v>70.199999999998909</v>
      </c>
      <c r="U25" s="26">
        <f t="shared" si="5"/>
        <v>887.34999999997854</v>
      </c>
      <c r="V25" s="35">
        <v>48.7</v>
      </c>
      <c r="W25" s="35">
        <v>37.68</v>
      </c>
      <c r="X25" s="35">
        <v>47.1</v>
      </c>
      <c r="Y25" s="11">
        <f t="shared" si="6"/>
        <v>133.47999999999999</v>
      </c>
      <c r="Z25" s="23">
        <v>7957.16</v>
      </c>
      <c r="AA25" s="8">
        <f t="shared" si="7"/>
        <v>0</v>
      </c>
      <c r="AB25" s="23">
        <v>3636.68</v>
      </c>
      <c r="AC25" s="23">
        <v>0</v>
      </c>
      <c r="AD25" s="23">
        <v>22217</v>
      </c>
      <c r="AE25" s="8">
        <f t="shared" si="8"/>
        <v>2</v>
      </c>
      <c r="AF25" s="23">
        <v>1623.1</v>
      </c>
      <c r="AG25" s="23">
        <v>35</v>
      </c>
      <c r="AH25" s="36">
        <f t="shared" si="9"/>
        <v>133.47999999999999</v>
      </c>
      <c r="AI25" s="21">
        <f t="shared" si="10"/>
        <v>1.2000000000034561</v>
      </c>
      <c r="AJ25" s="22">
        <f t="shared" si="11"/>
        <v>132.27999999999653</v>
      </c>
      <c r="AK25" s="27">
        <f t="shared" si="12"/>
        <v>889.34999999997854</v>
      </c>
      <c r="AL25" s="40">
        <f t="shared" si="13"/>
        <v>1021.6299999999751</v>
      </c>
    </row>
    <row r="26" spans="1:38" ht="25.5" customHeight="1">
      <c r="A26" s="39" t="s">
        <v>359</v>
      </c>
      <c r="B26" s="23">
        <v>4419.0200000000004</v>
      </c>
      <c r="C26" s="56">
        <f t="shared" si="14"/>
        <v>75.419999999999163</v>
      </c>
      <c r="D26" s="23">
        <v>7824.95</v>
      </c>
      <c r="E26" s="23">
        <v>539.94000000000005</v>
      </c>
      <c r="F26" s="23">
        <v>0.89400000000000002</v>
      </c>
      <c r="G26" s="23">
        <v>0.45600000000000002</v>
      </c>
      <c r="H26" s="23">
        <v>40</v>
      </c>
      <c r="I26" s="5">
        <f t="shared" si="0"/>
        <v>0</v>
      </c>
      <c r="J26" s="6">
        <f t="shared" si="1"/>
        <v>690.80000000001746</v>
      </c>
      <c r="K26" s="23">
        <v>229681.76</v>
      </c>
      <c r="L26" s="23">
        <v>0.999</v>
      </c>
      <c r="M26" s="7">
        <f t="shared" si="2"/>
        <v>145.50999999998021</v>
      </c>
      <c r="N26" s="23">
        <v>112</v>
      </c>
      <c r="O26" s="8">
        <f t="shared" si="15"/>
        <v>0</v>
      </c>
      <c r="P26" s="23">
        <v>743.7</v>
      </c>
      <c r="Q26" s="23">
        <v>0</v>
      </c>
      <c r="R26" s="23">
        <v>12372.8</v>
      </c>
      <c r="S26" s="23">
        <v>0.88300000000000001</v>
      </c>
      <c r="T26" s="25">
        <f t="shared" si="4"/>
        <v>115.10000000000036</v>
      </c>
      <c r="U26" s="26">
        <f t="shared" si="5"/>
        <v>951.40999999999804</v>
      </c>
      <c r="V26" s="35">
        <v>47.64</v>
      </c>
      <c r="W26" s="35">
        <v>44.87</v>
      </c>
      <c r="X26" s="35">
        <v>51.66</v>
      </c>
      <c r="Y26" s="11">
        <f t="shared" si="6"/>
        <v>144.16999999999999</v>
      </c>
      <c r="Z26" s="23">
        <v>7957.16</v>
      </c>
      <c r="AA26" s="8">
        <f t="shared" si="7"/>
        <v>0.77000000000043656</v>
      </c>
      <c r="AB26" s="23">
        <v>3636.6</v>
      </c>
      <c r="AC26" s="23">
        <v>0</v>
      </c>
      <c r="AD26" s="23">
        <v>22219</v>
      </c>
      <c r="AE26" s="8">
        <f t="shared" si="8"/>
        <v>69</v>
      </c>
      <c r="AF26" s="23">
        <v>1623.2</v>
      </c>
      <c r="AG26" s="23">
        <v>0</v>
      </c>
      <c r="AH26" s="36">
        <f t="shared" si="9"/>
        <v>144.16999999999999</v>
      </c>
      <c r="AI26" s="21">
        <f t="shared" si="10"/>
        <v>0</v>
      </c>
      <c r="AJ26" s="22">
        <f t="shared" si="11"/>
        <v>144.16999999999999</v>
      </c>
      <c r="AK26" s="27">
        <f t="shared" si="12"/>
        <v>1021.1799999999985</v>
      </c>
      <c r="AL26" s="40">
        <f t="shared" si="13"/>
        <v>1165.3499999999985</v>
      </c>
    </row>
    <row r="27" spans="1:38" ht="25.5" customHeight="1">
      <c r="A27" s="39" t="s">
        <v>360</v>
      </c>
      <c r="B27" s="23">
        <v>4494.4399999999996</v>
      </c>
      <c r="C27" s="56">
        <f t="shared" si="14"/>
        <v>93.630000000000109</v>
      </c>
      <c r="D27" s="23">
        <v>7842.22</v>
      </c>
      <c r="E27" s="23">
        <v>539.94000000000005</v>
      </c>
      <c r="F27" s="23">
        <v>0.89400000000000002</v>
      </c>
      <c r="G27" s="23">
        <v>0.45600000000000002</v>
      </c>
      <c r="H27" s="23">
        <v>40</v>
      </c>
      <c r="I27" s="5">
        <f t="shared" si="0"/>
        <v>1.1999999999989086</v>
      </c>
      <c r="J27" s="6">
        <f t="shared" si="1"/>
        <v>663.60000000000582</v>
      </c>
      <c r="K27" s="23">
        <v>229827.27</v>
      </c>
      <c r="L27" s="23">
        <v>0.999</v>
      </c>
      <c r="M27" s="7">
        <f t="shared" si="2"/>
        <v>136.29000000000815</v>
      </c>
      <c r="N27" s="23">
        <v>112</v>
      </c>
      <c r="O27" s="8">
        <f t="shared" si="15"/>
        <v>0</v>
      </c>
      <c r="P27" s="23">
        <v>743.7</v>
      </c>
      <c r="Q27" s="23">
        <v>0</v>
      </c>
      <c r="R27" s="23">
        <v>12487.9</v>
      </c>
      <c r="S27" s="23">
        <v>0.88300000000000001</v>
      </c>
      <c r="T27" s="25">
        <f t="shared" si="4"/>
        <v>108.5</v>
      </c>
      <c r="U27" s="26">
        <f t="shared" si="5"/>
        <v>908.39000000001397</v>
      </c>
      <c r="V27" s="35">
        <v>14.25</v>
      </c>
      <c r="W27" s="35">
        <v>12.36</v>
      </c>
      <c r="X27" s="35">
        <v>13.4</v>
      </c>
      <c r="Y27" s="11">
        <f t="shared" si="6"/>
        <v>40.01</v>
      </c>
      <c r="Z27" s="23">
        <v>7957.93</v>
      </c>
      <c r="AA27" s="8">
        <f t="shared" si="7"/>
        <v>9.6999999999998181</v>
      </c>
      <c r="AB27" s="23">
        <v>3636.9</v>
      </c>
      <c r="AC27" s="23">
        <v>0</v>
      </c>
      <c r="AD27" s="23">
        <v>22288</v>
      </c>
      <c r="AE27" s="8">
        <f t="shared" si="8"/>
        <v>105</v>
      </c>
      <c r="AF27" s="23">
        <v>1625.4</v>
      </c>
      <c r="AG27" s="23">
        <v>30</v>
      </c>
      <c r="AH27" s="36">
        <f t="shared" si="9"/>
        <v>40.01</v>
      </c>
      <c r="AI27" s="21">
        <f t="shared" si="10"/>
        <v>1.1999999999989086</v>
      </c>
      <c r="AJ27" s="22">
        <f t="shared" si="11"/>
        <v>38.810000000001089</v>
      </c>
      <c r="AK27" s="27">
        <f t="shared" si="12"/>
        <v>1023.0900000000138</v>
      </c>
      <c r="AL27" s="40">
        <f t="shared" si="13"/>
        <v>1061.9000000000149</v>
      </c>
    </row>
    <row r="28" spans="1:38" ht="25.5" customHeight="1">
      <c r="A28" s="39" t="s">
        <v>361</v>
      </c>
      <c r="B28" s="23">
        <v>4588.07</v>
      </c>
      <c r="C28" s="56">
        <f t="shared" si="14"/>
        <v>77.780000000000655</v>
      </c>
      <c r="D28" s="23">
        <v>7858.81</v>
      </c>
      <c r="E28" s="23">
        <v>539.97</v>
      </c>
      <c r="F28" s="23">
        <v>0.89500000000000002</v>
      </c>
      <c r="G28" s="23">
        <v>0.45500000000000002</v>
      </c>
      <c r="H28" s="23">
        <v>40</v>
      </c>
      <c r="I28" s="5">
        <f t="shared" si="0"/>
        <v>0</v>
      </c>
      <c r="J28" s="6">
        <f t="shared" si="1"/>
        <v>680</v>
      </c>
      <c r="K28" s="23">
        <v>229963.56</v>
      </c>
      <c r="L28" s="23">
        <v>0.999</v>
      </c>
      <c r="M28" s="7">
        <f t="shared" si="2"/>
        <v>164.95000000001164</v>
      </c>
      <c r="N28" s="23">
        <v>112</v>
      </c>
      <c r="O28" s="8">
        <f t="shared" si="15"/>
        <v>0</v>
      </c>
      <c r="P28" s="23">
        <v>743.7</v>
      </c>
      <c r="Q28" s="23">
        <v>0</v>
      </c>
      <c r="R28" s="23">
        <v>12596.4</v>
      </c>
      <c r="S28" s="23">
        <v>0.88300000000000001</v>
      </c>
      <c r="T28" s="25">
        <f t="shared" si="4"/>
        <v>119.5</v>
      </c>
      <c r="U28" s="26">
        <f t="shared" si="5"/>
        <v>964.45000000001164</v>
      </c>
      <c r="V28" s="35">
        <v>17.239999999999998</v>
      </c>
      <c r="W28" s="35">
        <v>16.45</v>
      </c>
      <c r="X28" s="35">
        <v>14.25</v>
      </c>
      <c r="Y28" s="11">
        <f t="shared" si="6"/>
        <v>47.94</v>
      </c>
      <c r="Z28" s="23">
        <v>7967.63</v>
      </c>
      <c r="AA28" s="8">
        <f t="shared" si="7"/>
        <v>0.61999999999989086</v>
      </c>
      <c r="AB28" s="23">
        <v>3638.42</v>
      </c>
      <c r="AC28" s="23">
        <v>0</v>
      </c>
      <c r="AD28" s="23">
        <v>22393</v>
      </c>
      <c r="AE28" s="8">
        <f t="shared" si="8"/>
        <v>52</v>
      </c>
      <c r="AF28" s="23">
        <v>1629.6</v>
      </c>
      <c r="AG28" s="23">
        <v>70</v>
      </c>
      <c r="AH28" s="36">
        <f t="shared" si="9"/>
        <v>47.94</v>
      </c>
      <c r="AI28" s="21">
        <f t="shared" si="10"/>
        <v>0</v>
      </c>
      <c r="AJ28" s="22">
        <f t="shared" si="11"/>
        <v>47.94</v>
      </c>
      <c r="AK28" s="27">
        <f t="shared" si="12"/>
        <v>1017.0700000000115</v>
      </c>
      <c r="AL28" s="40">
        <f t="shared" si="13"/>
        <v>1065.0100000000116</v>
      </c>
    </row>
    <row r="29" spans="1:38" ht="25.5" customHeight="1">
      <c r="A29" s="39" t="s">
        <v>362</v>
      </c>
      <c r="B29" s="23">
        <v>4665.8500000000004</v>
      </c>
      <c r="C29" s="56">
        <f t="shared" si="14"/>
        <v>81.319999999999709</v>
      </c>
      <c r="D29" s="23">
        <v>7875.81</v>
      </c>
      <c r="E29" s="23">
        <v>539.97</v>
      </c>
      <c r="F29" s="23">
        <v>0.89700000000000002</v>
      </c>
      <c r="G29" s="23">
        <v>0.45500000000000002</v>
      </c>
      <c r="H29" s="23">
        <v>40</v>
      </c>
      <c r="I29" s="5">
        <f t="shared" si="0"/>
        <v>0</v>
      </c>
      <c r="J29" s="6">
        <f t="shared" si="1"/>
        <v>777.19999999997526</v>
      </c>
      <c r="K29" s="23">
        <v>230128.51</v>
      </c>
      <c r="L29" s="23">
        <v>0.999</v>
      </c>
      <c r="M29" s="7">
        <f t="shared" si="2"/>
        <v>159.13999999998487</v>
      </c>
      <c r="N29" s="23">
        <v>112</v>
      </c>
      <c r="O29" s="8">
        <f t="shared" si="15"/>
        <v>0</v>
      </c>
      <c r="P29" s="23">
        <v>743.7</v>
      </c>
      <c r="Q29" s="23">
        <v>0</v>
      </c>
      <c r="R29" s="23">
        <v>12715.9</v>
      </c>
      <c r="S29" s="23">
        <v>0.88300000000000001</v>
      </c>
      <c r="T29" s="25">
        <f t="shared" si="4"/>
        <v>110.89999999999964</v>
      </c>
      <c r="U29" s="26">
        <f t="shared" si="5"/>
        <v>1047.2399999999598</v>
      </c>
      <c r="V29" s="35">
        <v>15.57</v>
      </c>
      <c r="W29" s="35">
        <v>33.85</v>
      </c>
      <c r="X29" s="35">
        <v>15.85</v>
      </c>
      <c r="Y29" s="11">
        <f t="shared" si="6"/>
        <v>65.27</v>
      </c>
      <c r="Z29" s="23">
        <v>7968.25</v>
      </c>
      <c r="AA29" s="8">
        <f t="shared" si="7"/>
        <v>0</v>
      </c>
      <c r="AB29" s="23">
        <v>3638.54</v>
      </c>
      <c r="AC29" s="23">
        <v>0</v>
      </c>
      <c r="AD29" s="23">
        <v>22445</v>
      </c>
      <c r="AE29" s="8">
        <f t="shared" si="8"/>
        <v>0</v>
      </c>
      <c r="AF29" s="23">
        <v>1632.8</v>
      </c>
      <c r="AG29" s="23">
        <v>0</v>
      </c>
      <c r="AH29" s="36">
        <f t="shared" si="9"/>
        <v>65.27</v>
      </c>
      <c r="AI29" s="21">
        <f t="shared" si="10"/>
        <v>0</v>
      </c>
      <c r="AJ29" s="22">
        <f t="shared" si="11"/>
        <v>65.27</v>
      </c>
      <c r="AK29" s="27">
        <f t="shared" si="12"/>
        <v>1047.2399999999598</v>
      </c>
      <c r="AL29" s="40">
        <f t="shared" si="13"/>
        <v>1112.5099999999597</v>
      </c>
    </row>
    <row r="30" spans="1:38" ht="25.5" customHeight="1">
      <c r="A30" s="39" t="s">
        <v>363</v>
      </c>
      <c r="B30" s="23">
        <v>4747.17</v>
      </c>
      <c r="C30" s="56">
        <f t="shared" si="14"/>
        <v>46.140000000000327</v>
      </c>
      <c r="D30" s="23">
        <v>7895.24</v>
      </c>
      <c r="E30" s="23">
        <v>539.97</v>
      </c>
      <c r="F30" s="23">
        <v>0.89800000000000002</v>
      </c>
      <c r="G30" s="23">
        <v>0.45500000000000002</v>
      </c>
      <c r="H30" s="23">
        <v>40</v>
      </c>
      <c r="I30" s="5">
        <f t="shared" si="0"/>
        <v>0</v>
      </c>
      <c r="J30" s="6">
        <f t="shared" si="1"/>
        <v>448.40000000000146</v>
      </c>
      <c r="K30" s="23">
        <v>230287.65</v>
      </c>
      <c r="L30" s="23">
        <v>0.999</v>
      </c>
      <c r="M30" s="7">
        <f t="shared" si="2"/>
        <v>176.36000000001513</v>
      </c>
      <c r="N30" s="23">
        <v>112</v>
      </c>
      <c r="O30" s="8">
        <f t="shared" si="15"/>
        <v>1</v>
      </c>
      <c r="P30" s="23">
        <v>743.7</v>
      </c>
      <c r="Q30" s="23">
        <v>0</v>
      </c>
      <c r="R30" s="23">
        <v>12826.8</v>
      </c>
      <c r="S30" s="23">
        <v>0.88300000000000001</v>
      </c>
      <c r="T30" s="25">
        <f t="shared" si="4"/>
        <v>108.30000000000109</v>
      </c>
      <c r="U30" s="26">
        <f t="shared" si="5"/>
        <v>734.06000000001768</v>
      </c>
      <c r="V30" s="35">
        <v>20.78</v>
      </c>
      <c r="W30" s="35">
        <v>22.04</v>
      </c>
      <c r="X30" s="35">
        <v>18.2</v>
      </c>
      <c r="Y30" s="11">
        <f t="shared" si="6"/>
        <v>61.019999999999996</v>
      </c>
      <c r="Z30" s="23">
        <v>7968.25</v>
      </c>
      <c r="AA30" s="8">
        <f t="shared" si="7"/>
        <v>0</v>
      </c>
      <c r="AB30" s="23">
        <v>3638.54</v>
      </c>
      <c r="AC30" s="23">
        <v>0</v>
      </c>
      <c r="AD30" s="23">
        <v>22445</v>
      </c>
      <c r="AE30" s="8">
        <f t="shared" si="8"/>
        <v>75</v>
      </c>
      <c r="AF30" s="23">
        <v>1632.8</v>
      </c>
      <c r="AG30" s="23">
        <v>0</v>
      </c>
      <c r="AH30" s="36">
        <f t="shared" si="9"/>
        <v>61.019999999999996</v>
      </c>
      <c r="AI30" s="21">
        <f t="shared" si="10"/>
        <v>0</v>
      </c>
      <c r="AJ30" s="22">
        <f t="shared" si="11"/>
        <v>61.019999999999996</v>
      </c>
      <c r="AK30" s="27">
        <f t="shared" si="12"/>
        <v>809.06000000001768</v>
      </c>
      <c r="AL30" s="40">
        <f t="shared" si="13"/>
        <v>870.08000000001766</v>
      </c>
    </row>
    <row r="31" spans="1:38" ht="27.75" customHeight="1">
      <c r="A31" s="39" t="s">
        <v>364</v>
      </c>
      <c r="B31" s="23">
        <v>4793.3100000000004</v>
      </c>
      <c r="C31" s="56">
        <f t="shared" si="14"/>
        <v>76.369999999999891</v>
      </c>
      <c r="D31" s="23">
        <v>7906.45</v>
      </c>
      <c r="E31" s="23">
        <v>539.97</v>
      </c>
      <c r="F31" s="23">
        <v>0.89800000000000002</v>
      </c>
      <c r="G31" s="23">
        <v>0.45500000000000002</v>
      </c>
      <c r="H31" s="23">
        <v>40</v>
      </c>
      <c r="I31" s="5">
        <f t="shared" si="0"/>
        <v>0</v>
      </c>
      <c r="J31" s="6">
        <f t="shared" si="1"/>
        <v>815.6000000000131</v>
      </c>
      <c r="K31" s="23">
        <v>230464.01</v>
      </c>
      <c r="L31" s="23">
        <v>0.999</v>
      </c>
      <c r="M31" s="7">
        <f t="shared" si="2"/>
        <v>149.64999999999418</v>
      </c>
      <c r="N31" s="23">
        <v>113</v>
      </c>
      <c r="O31" s="8">
        <f t="shared" si="15"/>
        <v>0</v>
      </c>
      <c r="P31" s="23">
        <v>755.3</v>
      </c>
      <c r="Q31" s="23">
        <v>0</v>
      </c>
      <c r="R31" s="23">
        <v>12935.1</v>
      </c>
      <c r="S31" s="23">
        <v>0.88300000000000001</v>
      </c>
      <c r="T31" s="25">
        <f t="shared" si="4"/>
        <v>108.10000000000036</v>
      </c>
      <c r="U31" s="26">
        <f t="shared" si="5"/>
        <v>1073.3500000000076</v>
      </c>
      <c r="V31" s="35">
        <v>20.5</v>
      </c>
      <c r="W31" s="35">
        <v>18.7</v>
      </c>
      <c r="X31" s="35">
        <v>25.4</v>
      </c>
      <c r="Y31" s="11">
        <f t="shared" si="6"/>
        <v>64.599999999999994</v>
      </c>
      <c r="Z31" s="23">
        <v>7968.25</v>
      </c>
      <c r="AA31" s="8">
        <f t="shared" si="7"/>
        <v>0</v>
      </c>
      <c r="AB31" s="23">
        <v>3638.54</v>
      </c>
      <c r="AC31" s="23">
        <v>0</v>
      </c>
      <c r="AD31" s="23">
        <v>22520</v>
      </c>
      <c r="AE31" s="8">
        <f t="shared" si="8"/>
        <v>0</v>
      </c>
      <c r="AF31" s="23">
        <v>1636.4</v>
      </c>
      <c r="AG31" s="23">
        <v>0</v>
      </c>
      <c r="AH31" s="36">
        <f t="shared" si="9"/>
        <v>64.599999999999994</v>
      </c>
      <c r="AI31" s="21">
        <f t="shared" si="10"/>
        <v>0</v>
      </c>
      <c r="AJ31" s="22">
        <f t="shared" si="11"/>
        <v>64.599999999999994</v>
      </c>
      <c r="AK31" s="27">
        <f t="shared" si="12"/>
        <v>1073.3500000000076</v>
      </c>
      <c r="AL31" s="40">
        <f t="shared" si="13"/>
        <v>1137.9500000000075</v>
      </c>
    </row>
    <row r="32" spans="1:38" ht="29.25" customHeight="1">
      <c r="A32" s="39" t="s">
        <v>365</v>
      </c>
      <c r="B32" s="23">
        <v>4869.68</v>
      </c>
      <c r="C32" s="56">
        <f t="shared" si="14"/>
        <v>80.659999999999854</v>
      </c>
      <c r="D32" s="23">
        <v>7926.84</v>
      </c>
      <c r="E32" s="23">
        <v>539.97</v>
      </c>
      <c r="F32" s="23">
        <v>0.9</v>
      </c>
      <c r="G32" s="23">
        <v>0.45500000000000002</v>
      </c>
      <c r="H32" s="23">
        <v>40</v>
      </c>
      <c r="I32" s="5">
        <f t="shared" si="0"/>
        <v>0</v>
      </c>
      <c r="J32" s="6">
        <f t="shared" si="1"/>
        <v>0</v>
      </c>
      <c r="K32" s="23">
        <v>230613.66</v>
      </c>
      <c r="L32" s="23">
        <v>0.996</v>
      </c>
      <c r="M32" s="7">
        <f t="shared" si="2"/>
        <v>125.04999999998836</v>
      </c>
      <c r="N32" s="23">
        <v>113</v>
      </c>
      <c r="O32" s="8">
        <f t="shared" si="15"/>
        <v>0</v>
      </c>
      <c r="P32" s="23">
        <v>755.3</v>
      </c>
      <c r="Q32" s="23">
        <v>0</v>
      </c>
      <c r="R32" s="23">
        <v>13043.2</v>
      </c>
      <c r="S32" s="23">
        <v>0.88300000000000001</v>
      </c>
      <c r="T32" s="25">
        <f t="shared" si="4"/>
        <v>77.5</v>
      </c>
      <c r="U32" s="26">
        <f t="shared" si="5"/>
        <v>202.54999999998836</v>
      </c>
      <c r="V32" s="35">
        <v>14.21</v>
      </c>
      <c r="W32" s="35">
        <v>13.05</v>
      </c>
      <c r="X32" s="35">
        <v>22.14</v>
      </c>
      <c r="Y32" s="11">
        <f t="shared" si="6"/>
        <v>49.400000000000006</v>
      </c>
      <c r="Z32" s="23">
        <v>7968.25</v>
      </c>
      <c r="AA32" s="8">
        <f t="shared" si="7"/>
        <v>0</v>
      </c>
      <c r="AB32" s="23">
        <v>3638.54</v>
      </c>
      <c r="AC32" s="23">
        <v>0</v>
      </c>
      <c r="AD32" s="23">
        <v>22520</v>
      </c>
      <c r="AE32" s="8">
        <f t="shared" si="8"/>
        <v>0</v>
      </c>
      <c r="AF32" s="23">
        <v>1636.6</v>
      </c>
      <c r="AG32" s="23">
        <v>0</v>
      </c>
      <c r="AH32" s="36">
        <f t="shared" si="9"/>
        <v>49.400000000000006</v>
      </c>
      <c r="AI32" s="21">
        <f t="shared" si="10"/>
        <v>0</v>
      </c>
      <c r="AJ32" s="22">
        <f t="shared" si="11"/>
        <v>49.400000000000006</v>
      </c>
      <c r="AK32" s="27">
        <f t="shared" si="12"/>
        <v>202.54999999998836</v>
      </c>
      <c r="AL32" s="40">
        <f t="shared" si="13"/>
        <v>251.94999999998836</v>
      </c>
    </row>
    <row r="33" spans="1:38" ht="31.5" customHeight="1">
      <c r="A33" s="39" t="s">
        <v>366</v>
      </c>
      <c r="B33" s="23">
        <v>4950.34</v>
      </c>
      <c r="C33" s="56">
        <f t="shared" si="14"/>
        <v>-4950.34</v>
      </c>
      <c r="D33" s="23">
        <v>7926.84</v>
      </c>
      <c r="E33" s="23">
        <v>539.97</v>
      </c>
      <c r="F33" s="23">
        <v>0.90100000000000002</v>
      </c>
      <c r="G33" s="23">
        <v>0.45500000000000002</v>
      </c>
      <c r="H33" s="23">
        <v>40</v>
      </c>
      <c r="I33" s="5">
        <f t="shared" si="0"/>
        <v>-21598.800000000003</v>
      </c>
      <c r="J33" s="6">
        <f t="shared" si="1"/>
        <v>-317073.59999999998</v>
      </c>
      <c r="K33" s="23">
        <v>230738.71</v>
      </c>
      <c r="L33" s="23">
        <v>0.996</v>
      </c>
      <c r="M33" s="7">
        <f t="shared" si="2"/>
        <v>-230738.71</v>
      </c>
      <c r="N33" s="23">
        <v>113</v>
      </c>
      <c r="O33" s="8">
        <f t="shared" si="15"/>
        <v>-113</v>
      </c>
      <c r="P33" s="23">
        <v>755.3</v>
      </c>
      <c r="Q33" s="23">
        <v>0</v>
      </c>
      <c r="R33" s="23">
        <v>13120.7</v>
      </c>
      <c r="S33" s="23">
        <v>0.88300000000000001</v>
      </c>
      <c r="T33" s="25">
        <f t="shared" si="4"/>
        <v>-13120.7</v>
      </c>
      <c r="U33" s="26">
        <f t="shared" si="5"/>
        <v>-561046.00999999989</v>
      </c>
      <c r="V33" s="35"/>
      <c r="W33" s="35"/>
      <c r="X33" s="35"/>
      <c r="Y33" s="11">
        <f t="shared" si="6"/>
        <v>0</v>
      </c>
      <c r="Z33" s="23">
        <v>7968.25</v>
      </c>
      <c r="AA33" s="8">
        <f t="shared" si="7"/>
        <v>-7968.25</v>
      </c>
      <c r="AB33" s="23">
        <v>3638.54</v>
      </c>
      <c r="AC33" s="23">
        <v>0</v>
      </c>
      <c r="AD33" s="23">
        <v>22520</v>
      </c>
      <c r="AE33" s="8">
        <f t="shared" si="8"/>
        <v>-22520</v>
      </c>
      <c r="AF33" s="23">
        <v>1636.6</v>
      </c>
      <c r="AG33" s="23">
        <v>0</v>
      </c>
      <c r="AH33" s="36">
        <f t="shared" si="9"/>
        <v>0</v>
      </c>
      <c r="AI33" s="21">
        <f t="shared" si="10"/>
        <v>-21598.800000000003</v>
      </c>
      <c r="AJ33" s="22">
        <f t="shared" si="11"/>
        <v>21598.800000000003</v>
      </c>
      <c r="AK33" s="27">
        <f t="shared" si="12"/>
        <v>-591534.25999999989</v>
      </c>
      <c r="AL33" s="40">
        <f t="shared" si="13"/>
        <v>-569935.45999999985</v>
      </c>
    </row>
    <row r="34" spans="1:38">
      <c r="C34" s="59"/>
      <c r="Y34" s="11"/>
      <c r="Z34" s="23"/>
    </row>
    <row r="35" spans="1:38">
      <c r="C35" s="59"/>
      <c r="Y35" s="11"/>
    </row>
    <row r="36" spans="1:38">
      <c r="C36" s="59"/>
      <c r="Y36" s="11"/>
    </row>
    <row r="37" spans="1:38">
      <c r="C37" s="59"/>
    </row>
    <row r="38" spans="1:38">
      <c r="C38" s="59"/>
    </row>
    <row r="39" spans="1:38">
      <c r="C39" s="59"/>
    </row>
    <row r="40" spans="1:38">
      <c r="C40" s="59"/>
    </row>
    <row r="41" spans="1:38">
      <c r="C41" s="59"/>
    </row>
    <row r="42" spans="1:38">
      <c r="C42" s="59"/>
    </row>
    <row r="43" spans="1:38">
      <c r="C43" s="59"/>
    </row>
    <row r="44" spans="1:38">
      <c r="C44" s="59"/>
    </row>
    <row r="45" spans="1:38">
      <c r="C45" s="59"/>
    </row>
    <row r="46" spans="1:38">
      <c r="C46" s="59"/>
    </row>
    <row r="47" spans="1:38">
      <c r="C47" s="59"/>
    </row>
    <row r="48" spans="1:38">
      <c r="C48" s="59"/>
    </row>
    <row r="49" spans="3:3">
      <c r="C49" s="59"/>
    </row>
    <row r="50" spans="3:3">
      <c r="C50" s="59"/>
    </row>
    <row r="51" spans="3:3">
      <c r="C51" s="59"/>
    </row>
    <row r="52" spans="3:3">
      <c r="C52" s="59"/>
    </row>
    <row r="53" spans="3:3">
      <c r="C53" s="59"/>
    </row>
    <row r="54" spans="3:3">
      <c r="C54" s="59"/>
    </row>
    <row r="55" spans="3:3">
      <c r="C55" s="59"/>
    </row>
    <row r="56" spans="3:3">
      <c r="C56" s="59"/>
    </row>
    <row r="57" spans="3:3">
      <c r="C57" s="59"/>
    </row>
    <row r="58" spans="3:3">
      <c r="C58" s="59"/>
    </row>
    <row r="59" spans="3:3">
      <c r="C59" s="59"/>
    </row>
    <row r="60" spans="3:3">
      <c r="C60" s="59"/>
    </row>
    <row r="61" spans="3:3">
      <c r="C61" s="59"/>
    </row>
    <row r="62" spans="3:3">
      <c r="C62" s="59"/>
    </row>
    <row r="63" spans="3:3">
      <c r="C63" s="59"/>
    </row>
    <row r="64" spans="3:3">
      <c r="C64" s="59"/>
    </row>
    <row r="65" spans="3:3">
      <c r="C65" s="59"/>
    </row>
    <row r="66" spans="3:3">
      <c r="C66" s="59"/>
    </row>
    <row r="67" spans="3:3">
      <c r="C67" s="59"/>
    </row>
    <row r="68" spans="3:3">
      <c r="C68" s="59"/>
    </row>
    <row r="69" spans="3:3">
      <c r="C69" s="59"/>
    </row>
    <row r="70" spans="3:3">
      <c r="C70" s="59"/>
    </row>
    <row r="71" spans="3:3">
      <c r="C71" s="59"/>
    </row>
    <row r="72" spans="3:3">
      <c r="C72" s="59"/>
    </row>
    <row r="73" spans="3:3">
      <c r="C73" s="59"/>
    </row>
    <row r="74" spans="3:3">
      <c r="C74" s="59"/>
    </row>
    <row r="75" spans="3:3">
      <c r="C75" s="59"/>
    </row>
    <row r="76" spans="3:3">
      <c r="C76" s="59"/>
    </row>
    <row r="77" spans="3:3">
      <c r="C77" s="59"/>
    </row>
    <row r="78" spans="3:3">
      <c r="C78" s="59"/>
    </row>
    <row r="79" spans="3:3">
      <c r="C79" s="59"/>
    </row>
    <row r="80" spans="3:3">
      <c r="C80" s="59"/>
    </row>
    <row r="81" spans="3:3">
      <c r="C81" s="59"/>
    </row>
    <row r="82" spans="3:3">
      <c r="C82" s="59"/>
    </row>
    <row r="83" spans="3:3">
      <c r="C83" s="59"/>
    </row>
    <row r="84" spans="3:3">
      <c r="C84" s="59"/>
    </row>
    <row r="85" spans="3:3">
      <c r="C85" s="59"/>
    </row>
    <row r="86" spans="3:3">
      <c r="C86" s="59"/>
    </row>
    <row r="87" spans="3:3">
      <c r="C87" s="59"/>
    </row>
    <row r="88" spans="3:3">
      <c r="C88" s="59"/>
    </row>
    <row r="89" spans="3:3">
      <c r="C89" s="59"/>
    </row>
    <row r="90" spans="3:3">
      <c r="C90" s="59"/>
    </row>
    <row r="91" spans="3:3">
      <c r="C91" s="59"/>
    </row>
    <row r="92" spans="3:3">
      <c r="C92" s="59"/>
    </row>
    <row r="93" spans="3:3">
      <c r="C93" s="59"/>
    </row>
    <row r="94" spans="3:3">
      <c r="C94" s="59"/>
    </row>
    <row r="95" spans="3:3">
      <c r="C95" s="59"/>
    </row>
    <row r="96" spans="3:3">
      <c r="C96" s="59"/>
    </row>
    <row r="97" spans="3:3">
      <c r="C97" s="59"/>
    </row>
    <row r="98" spans="3:3">
      <c r="C98" s="59"/>
    </row>
    <row r="99" spans="3:3">
      <c r="C99" s="59"/>
    </row>
    <row r="100" spans="3:3">
      <c r="C100" s="59"/>
    </row>
    <row r="101" spans="3:3">
      <c r="C101" s="59"/>
    </row>
    <row r="102" spans="3:3">
      <c r="C102" s="59"/>
    </row>
    <row r="103" spans="3:3">
      <c r="C103" s="59"/>
    </row>
    <row r="104" spans="3:3">
      <c r="C104" s="59"/>
    </row>
    <row r="105" spans="3:3">
      <c r="C105" s="59"/>
    </row>
    <row r="106" spans="3:3">
      <c r="C106" s="59"/>
    </row>
    <row r="107" spans="3:3">
      <c r="C107" s="59"/>
    </row>
    <row r="108" spans="3:3">
      <c r="C108" s="59"/>
    </row>
    <row r="109" spans="3:3">
      <c r="C109" s="59"/>
    </row>
    <row r="110" spans="3:3">
      <c r="C110" s="59"/>
    </row>
    <row r="111" spans="3:3">
      <c r="C111" s="59"/>
    </row>
    <row r="112" spans="3:3">
      <c r="C112" s="59"/>
    </row>
    <row r="113" spans="3:3">
      <c r="C113" s="59"/>
    </row>
    <row r="114" spans="3:3">
      <c r="C114" s="59"/>
    </row>
    <row r="115" spans="3:3">
      <c r="C115" s="59"/>
    </row>
    <row r="116" spans="3:3">
      <c r="C116" s="59"/>
    </row>
    <row r="117" spans="3:3">
      <c r="C117" s="59"/>
    </row>
    <row r="118" spans="3:3">
      <c r="C118" s="59"/>
    </row>
    <row r="119" spans="3:3">
      <c r="C119" s="59"/>
    </row>
    <row r="120" spans="3:3">
      <c r="C120" s="59"/>
    </row>
    <row r="121" spans="3:3">
      <c r="C121" s="59"/>
    </row>
    <row r="122" spans="3:3">
      <c r="C122" s="59"/>
    </row>
    <row r="123" spans="3:3">
      <c r="C123" s="59"/>
    </row>
    <row r="124" spans="3:3">
      <c r="C124" s="59"/>
    </row>
    <row r="125" spans="3:3">
      <c r="C125" s="59"/>
    </row>
    <row r="126" spans="3:3">
      <c r="C126" s="59"/>
    </row>
    <row r="127" spans="3:3">
      <c r="C127" s="59"/>
    </row>
    <row r="128" spans="3:3">
      <c r="C128" s="59"/>
    </row>
    <row r="129" spans="3:3">
      <c r="C129" s="59"/>
    </row>
    <row r="130" spans="3:3">
      <c r="C130" s="59"/>
    </row>
    <row r="131" spans="3:3">
      <c r="C131" s="59"/>
    </row>
    <row r="132" spans="3:3">
      <c r="C132" s="59"/>
    </row>
    <row r="133" spans="3:3">
      <c r="C133" s="59"/>
    </row>
    <row r="134" spans="3:3">
      <c r="C134" s="59"/>
    </row>
    <row r="135" spans="3:3">
      <c r="C135" s="59"/>
    </row>
    <row r="136" spans="3:3">
      <c r="C136" s="59"/>
    </row>
    <row r="137" spans="3:3">
      <c r="C137" s="59"/>
    </row>
    <row r="138" spans="3:3">
      <c r="C138" s="59"/>
    </row>
    <row r="139" spans="3:3">
      <c r="C139" s="59"/>
    </row>
    <row r="140" spans="3:3">
      <c r="C140" s="59"/>
    </row>
    <row r="141" spans="3:3">
      <c r="C141" s="59"/>
    </row>
    <row r="142" spans="3:3">
      <c r="C142" s="59"/>
    </row>
    <row r="143" spans="3:3">
      <c r="C143" s="59"/>
    </row>
    <row r="144" spans="3:3">
      <c r="C144" s="59"/>
    </row>
    <row r="145" spans="3:3">
      <c r="C145" s="59"/>
    </row>
    <row r="146" spans="3:3">
      <c r="C146" s="59"/>
    </row>
    <row r="147" spans="3:3">
      <c r="C147" s="59"/>
    </row>
    <row r="148" spans="3:3">
      <c r="C148" s="59"/>
    </row>
    <row r="149" spans="3:3">
      <c r="C149" s="59"/>
    </row>
    <row r="150" spans="3:3">
      <c r="C150" s="59"/>
    </row>
    <row r="151" spans="3:3">
      <c r="C151" s="59"/>
    </row>
    <row r="152" spans="3:3">
      <c r="C152" s="59"/>
    </row>
    <row r="153" spans="3:3">
      <c r="C153" s="59"/>
    </row>
    <row r="154" spans="3:3">
      <c r="C154" s="59"/>
    </row>
    <row r="155" spans="3:3">
      <c r="C155" s="59"/>
    </row>
    <row r="156" spans="3:3">
      <c r="C156" s="59"/>
    </row>
    <row r="157" spans="3:3">
      <c r="C157" s="59"/>
    </row>
    <row r="158" spans="3:3">
      <c r="C158" s="59"/>
    </row>
    <row r="159" spans="3:3">
      <c r="C159" s="59"/>
    </row>
    <row r="160" spans="3:3">
      <c r="C160" s="59"/>
    </row>
    <row r="161" spans="3:3">
      <c r="C161" s="59"/>
    </row>
    <row r="162" spans="3:3">
      <c r="C162" s="59"/>
    </row>
    <row r="163" spans="3:3">
      <c r="C163" s="59"/>
    </row>
    <row r="164" spans="3:3">
      <c r="C164" s="59"/>
    </row>
    <row r="165" spans="3:3">
      <c r="C165" s="59"/>
    </row>
    <row r="166" spans="3:3">
      <c r="C166" s="59"/>
    </row>
    <row r="167" spans="3:3">
      <c r="C167" s="59"/>
    </row>
    <row r="168" spans="3:3">
      <c r="C168" s="59"/>
    </row>
    <row r="169" spans="3:3">
      <c r="C169" s="59"/>
    </row>
    <row r="170" spans="3:3">
      <c r="C170" s="59"/>
    </row>
    <row r="171" spans="3:3">
      <c r="C171" s="59"/>
    </row>
    <row r="172" spans="3:3">
      <c r="C172" s="59"/>
    </row>
    <row r="173" spans="3:3">
      <c r="C173" s="59"/>
    </row>
    <row r="174" spans="3:3">
      <c r="C174" s="59"/>
    </row>
    <row r="175" spans="3:3">
      <c r="C175" s="59"/>
    </row>
    <row r="176" spans="3:3">
      <c r="C176" s="59"/>
    </row>
    <row r="177" spans="3:3">
      <c r="C177" s="59"/>
    </row>
    <row r="178" spans="3:3">
      <c r="C178" s="59"/>
    </row>
    <row r="179" spans="3:3">
      <c r="C179" s="59"/>
    </row>
    <row r="180" spans="3:3">
      <c r="C180" s="59"/>
    </row>
    <row r="181" spans="3:3">
      <c r="C181" s="59"/>
    </row>
    <row r="182" spans="3:3">
      <c r="C182" s="59"/>
    </row>
    <row r="183" spans="3:3">
      <c r="C183" s="59"/>
    </row>
    <row r="184" spans="3:3">
      <c r="C184" s="59"/>
    </row>
    <row r="185" spans="3:3">
      <c r="C185" s="59"/>
    </row>
    <row r="186" spans="3:3">
      <c r="C186" s="59"/>
    </row>
    <row r="187" spans="3:3">
      <c r="C187" s="59"/>
    </row>
    <row r="188" spans="3:3">
      <c r="C188" s="59"/>
    </row>
    <row r="189" spans="3:3">
      <c r="C189" s="59"/>
    </row>
    <row r="190" spans="3:3">
      <c r="C190" s="59"/>
    </row>
    <row r="191" spans="3:3">
      <c r="C191" s="59"/>
    </row>
    <row r="192" spans="3:3">
      <c r="C192" s="59"/>
    </row>
    <row r="193" spans="3:3">
      <c r="C193" s="59"/>
    </row>
    <row r="194" spans="3:3">
      <c r="C194" s="59"/>
    </row>
    <row r="195" spans="3:3">
      <c r="C195" s="59"/>
    </row>
    <row r="196" spans="3:3">
      <c r="C196" s="59"/>
    </row>
    <row r="197" spans="3:3">
      <c r="C197" s="59"/>
    </row>
    <row r="198" spans="3:3">
      <c r="C198" s="59"/>
    </row>
    <row r="199" spans="3:3">
      <c r="C199" s="59"/>
    </row>
    <row r="200" spans="3:3">
      <c r="C200" s="59"/>
    </row>
    <row r="201" spans="3:3">
      <c r="C201" s="59"/>
    </row>
    <row r="202" spans="3:3">
      <c r="C202" s="59"/>
    </row>
    <row r="203" spans="3:3">
      <c r="C203" s="59"/>
    </row>
    <row r="204" spans="3:3">
      <c r="C204" s="59"/>
    </row>
    <row r="205" spans="3:3">
      <c r="C205" s="59"/>
    </row>
    <row r="206" spans="3:3">
      <c r="C206" s="59"/>
    </row>
    <row r="207" spans="3:3">
      <c r="C207" s="59"/>
    </row>
    <row r="208" spans="3:3">
      <c r="C208" s="59"/>
    </row>
    <row r="209" spans="3:3">
      <c r="C209" s="59"/>
    </row>
    <row r="210" spans="3:3">
      <c r="C210" s="59"/>
    </row>
    <row r="211" spans="3:3">
      <c r="C211" s="59"/>
    </row>
    <row r="212" spans="3:3">
      <c r="C212" s="59"/>
    </row>
    <row r="213" spans="3:3">
      <c r="C213" s="59"/>
    </row>
    <row r="214" spans="3:3">
      <c r="C214" s="59"/>
    </row>
    <row r="215" spans="3:3">
      <c r="C215" s="59"/>
    </row>
    <row r="216" spans="3:3">
      <c r="C216" s="59"/>
    </row>
    <row r="217" spans="3:3">
      <c r="C217" s="59"/>
    </row>
    <row r="218" spans="3:3">
      <c r="C218" s="59"/>
    </row>
    <row r="219" spans="3:3">
      <c r="C219" s="59"/>
    </row>
    <row r="220" spans="3:3">
      <c r="C220" s="59"/>
    </row>
    <row r="221" spans="3:3">
      <c r="C221" s="59"/>
    </row>
    <row r="222" spans="3:3">
      <c r="C222" s="59"/>
    </row>
    <row r="223" spans="3:3">
      <c r="C223" s="59"/>
    </row>
    <row r="224" spans="3:3">
      <c r="C224" s="59"/>
    </row>
    <row r="225" spans="3:3">
      <c r="C225" s="59"/>
    </row>
    <row r="226" spans="3:3">
      <c r="C226" s="59"/>
    </row>
    <row r="227" spans="3:3">
      <c r="C227" s="59"/>
    </row>
    <row r="228" spans="3:3">
      <c r="C228" s="59"/>
    </row>
    <row r="229" spans="3:3">
      <c r="C229" s="59"/>
    </row>
    <row r="230" spans="3:3">
      <c r="C230" s="59"/>
    </row>
    <row r="231" spans="3:3">
      <c r="C231" s="59"/>
    </row>
    <row r="232" spans="3:3">
      <c r="C232" s="59"/>
    </row>
    <row r="233" spans="3:3">
      <c r="C233" s="59"/>
    </row>
    <row r="234" spans="3:3">
      <c r="C234" s="59"/>
    </row>
    <row r="235" spans="3:3">
      <c r="C235" s="59"/>
    </row>
    <row r="236" spans="3:3">
      <c r="C236" s="59"/>
    </row>
    <row r="237" spans="3:3">
      <c r="C237" s="59"/>
    </row>
    <row r="238" spans="3:3">
      <c r="C238" s="59"/>
    </row>
    <row r="239" spans="3:3">
      <c r="C239" s="59"/>
    </row>
    <row r="240" spans="3:3">
      <c r="C240" s="59"/>
    </row>
    <row r="241" spans="3:3">
      <c r="C241" s="59"/>
    </row>
    <row r="242" spans="3:3">
      <c r="C242" s="59"/>
    </row>
    <row r="243" spans="3:3">
      <c r="C243" s="59"/>
    </row>
    <row r="244" spans="3:3">
      <c r="C244" s="59"/>
    </row>
    <row r="245" spans="3:3">
      <c r="C245" s="59"/>
    </row>
    <row r="246" spans="3:3">
      <c r="C246" s="59"/>
    </row>
    <row r="247" spans="3:3">
      <c r="C247" s="59"/>
    </row>
    <row r="248" spans="3:3">
      <c r="C248" s="59"/>
    </row>
    <row r="249" spans="3:3">
      <c r="C249" s="59"/>
    </row>
    <row r="250" spans="3:3">
      <c r="C250" s="59"/>
    </row>
    <row r="251" spans="3:3">
      <c r="C251" s="59"/>
    </row>
    <row r="252" spans="3:3">
      <c r="C252" s="59"/>
    </row>
    <row r="253" spans="3:3">
      <c r="C253" s="59"/>
    </row>
    <row r="254" spans="3:3">
      <c r="C254" s="59"/>
    </row>
    <row r="255" spans="3:3">
      <c r="C255" s="59"/>
    </row>
    <row r="256" spans="3:3">
      <c r="C256" s="59"/>
    </row>
    <row r="257" spans="3:3">
      <c r="C257" s="59"/>
    </row>
    <row r="258" spans="3:3">
      <c r="C258" s="59"/>
    </row>
    <row r="259" spans="3:3">
      <c r="C259" s="59"/>
    </row>
    <row r="260" spans="3:3">
      <c r="C260" s="59"/>
    </row>
    <row r="261" spans="3:3">
      <c r="C261" s="59"/>
    </row>
    <row r="262" spans="3:3">
      <c r="C262" s="59"/>
    </row>
    <row r="263" spans="3:3">
      <c r="C263" s="59"/>
    </row>
    <row r="264" spans="3:3">
      <c r="C264" s="59"/>
    </row>
    <row r="265" spans="3:3">
      <c r="C265" s="59"/>
    </row>
    <row r="266" spans="3:3">
      <c r="C266" s="59"/>
    </row>
    <row r="267" spans="3:3">
      <c r="C267" s="59"/>
    </row>
    <row r="268" spans="3:3">
      <c r="C268" s="59"/>
    </row>
    <row r="269" spans="3:3">
      <c r="C269" s="59"/>
    </row>
    <row r="270" spans="3:3">
      <c r="C270" s="59"/>
    </row>
    <row r="271" spans="3:3">
      <c r="C271" s="59"/>
    </row>
    <row r="272" spans="3:3">
      <c r="C272" s="59"/>
    </row>
    <row r="273" spans="3:3">
      <c r="C273" s="59"/>
    </row>
    <row r="274" spans="3:3">
      <c r="C274" s="59"/>
    </row>
    <row r="275" spans="3:3">
      <c r="C275" s="59"/>
    </row>
    <row r="276" spans="3:3">
      <c r="C276" s="59"/>
    </row>
    <row r="277" spans="3:3">
      <c r="C277" s="59"/>
    </row>
    <row r="278" spans="3:3">
      <c r="C278" s="59"/>
    </row>
    <row r="279" spans="3:3">
      <c r="C279" s="59"/>
    </row>
    <row r="280" spans="3:3">
      <c r="C280" s="59"/>
    </row>
    <row r="281" spans="3:3">
      <c r="C281" s="59"/>
    </row>
    <row r="282" spans="3:3">
      <c r="C282" s="59"/>
    </row>
    <row r="283" spans="3:3">
      <c r="C283" s="59"/>
    </row>
    <row r="284" spans="3:3">
      <c r="C284" s="59"/>
    </row>
    <row r="285" spans="3:3">
      <c r="C285" s="59"/>
    </row>
    <row r="286" spans="3:3">
      <c r="C286" s="59"/>
    </row>
    <row r="287" spans="3:3">
      <c r="C287" s="59"/>
    </row>
    <row r="288" spans="3:3">
      <c r="C288" s="59"/>
    </row>
    <row r="289" spans="3:3">
      <c r="C289" s="59"/>
    </row>
    <row r="290" spans="3:3">
      <c r="C290" s="59"/>
    </row>
    <row r="291" spans="3:3">
      <c r="C291" s="59"/>
    </row>
    <row r="292" spans="3:3">
      <c r="C292" s="59"/>
    </row>
    <row r="293" spans="3:3">
      <c r="C293" s="59"/>
    </row>
    <row r="294" spans="3:3">
      <c r="C294" s="59"/>
    </row>
    <row r="295" spans="3:3">
      <c r="C295" s="59"/>
    </row>
    <row r="296" spans="3:3">
      <c r="C296" s="59"/>
    </row>
    <row r="297" spans="3:3">
      <c r="C297" s="59"/>
    </row>
    <row r="298" spans="3:3">
      <c r="C298" s="59"/>
    </row>
    <row r="299" spans="3:3">
      <c r="C299" s="59"/>
    </row>
    <row r="300" spans="3:3">
      <c r="C300" s="59"/>
    </row>
    <row r="301" spans="3:3">
      <c r="C301" s="59"/>
    </row>
    <row r="302" spans="3:3">
      <c r="C302" s="59"/>
    </row>
    <row r="303" spans="3:3">
      <c r="C303" s="59"/>
    </row>
    <row r="304" spans="3:3">
      <c r="C304" s="59"/>
    </row>
    <row r="305" spans="3:3">
      <c r="C305" s="59"/>
    </row>
    <row r="306" spans="3:3">
      <c r="C306" s="59"/>
    </row>
    <row r="307" spans="3:3">
      <c r="C307" s="59"/>
    </row>
    <row r="308" spans="3:3">
      <c r="C308" s="59"/>
    </row>
    <row r="309" spans="3:3">
      <c r="C309" s="59"/>
    </row>
    <row r="310" spans="3:3">
      <c r="C310" s="59"/>
    </row>
    <row r="311" spans="3:3">
      <c r="C311" s="59"/>
    </row>
    <row r="312" spans="3:3">
      <c r="C312" s="59"/>
    </row>
    <row r="313" spans="3:3">
      <c r="C313" s="59"/>
    </row>
    <row r="314" spans="3:3">
      <c r="C314" s="59"/>
    </row>
    <row r="315" spans="3:3">
      <c r="C315" s="59"/>
    </row>
    <row r="316" spans="3:3">
      <c r="C316" s="59"/>
    </row>
    <row r="317" spans="3:3">
      <c r="C317" s="59"/>
    </row>
    <row r="318" spans="3:3">
      <c r="C318" s="59"/>
    </row>
    <row r="319" spans="3:3">
      <c r="C319" s="59"/>
    </row>
    <row r="320" spans="3:3">
      <c r="C320" s="59"/>
    </row>
    <row r="321" spans="3:3">
      <c r="C321" s="59"/>
    </row>
    <row r="322" spans="3:3">
      <c r="C322" s="59"/>
    </row>
    <row r="323" spans="3:3">
      <c r="C323" s="59"/>
    </row>
    <row r="324" spans="3:3">
      <c r="C324" s="59"/>
    </row>
    <row r="325" spans="3:3">
      <c r="C325" s="59"/>
    </row>
    <row r="326" spans="3:3">
      <c r="C326" s="59"/>
    </row>
    <row r="327" spans="3:3">
      <c r="C327" s="59"/>
    </row>
    <row r="328" spans="3:3">
      <c r="C328" s="59"/>
    </row>
    <row r="329" spans="3:3">
      <c r="C329" s="59"/>
    </row>
    <row r="330" spans="3:3">
      <c r="C330" s="59"/>
    </row>
    <row r="331" spans="3:3">
      <c r="C331" s="59"/>
    </row>
    <row r="332" spans="3:3">
      <c r="C332" s="59"/>
    </row>
    <row r="333" spans="3:3">
      <c r="C333" s="59"/>
    </row>
    <row r="334" spans="3:3">
      <c r="C334" s="59"/>
    </row>
    <row r="335" spans="3:3">
      <c r="C335" s="59"/>
    </row>
    <row r="336" spans="3:3">
      <c r="C336" s="59"/>
    </row>
    <row r="337" spans="3:3">
      <c r="C337" s="59"/>
    </row>
    <row r="338" spans="3:3">
      <c r="C338" s="59"/>
    </row>
    <row r="339" spans="3:3">
      <c r="C339" s="59"/>
    </row>
    <row r="340" spans="3:3">
      <c r="C340" s="59"/>
    </row>
    <row r="341" spans="3:3">
      <c r="C341" s="59"/>
    </row>
    <row r="342" spans="3:3">
      <c r="C342" s="59"/>
    </row>
    <row r="343" spans="3:3">
      <c r="C343" s="59"/>
    </row>
    <row r="344" spans="3:3">
      <c r="C344" s="59"/>
    </row>
    <row r="345" spans="3:3">
      <c r="C345" s="59"/>
    </row>
    <row r="346" spans="3:3">
      <c r="C346" s="59"/>
    </row>
    <row r="347" spans="3:3">
      <c r="C347" s="59"/>
    </row>
    <row r="348" spans="3:3">
      <c r="C348" s="59"/>
    </row>
    <row r="349" spans="3:3">
      <c r="C349" s="59"/>
    </row>
    <row r="350" spans="3:3">
      <c r="C350" s="59"/>
    </row>
    <row r="351" spans="3:3">
      <c r="C351" s="59"/>
    </row>
    <row r="352" spans="3:3">
      <c r="C352" s="59"/>
    </row>
    <row r="353" spans="3:3">
      <c r="C353" s="59"/>
    </row>
    <row r="354" spans="3:3">
      <c r="C354" s="59"/>
    </row>
    <row r="355" spans="3:3">
      <c r="C355" s="59"/>
    </row>
    <row r="356" spans="3:3">
      <c r="C356" s="59"/>
    </row>
    <row r="357" spans="3:3">
      <c r="C357" s="59"/>
    </row>
    <row r="358" spans="3:3">
      <c r="C358" s="59"/>
    </row>
    <row r="359" spans="3:3">
      <c r="C359" s="59"/>
    </row>
    <row r="360" spans="3:3">
      <c r="C360" s="59"/>
    </row>
    <row r="361" spans="3:3">
      <c r="C361" s="59"/>
    </row>
    <row r="362" spans="3:3">
      <c r="C362" s="59"/>
    </row>
    <row r="363" spans="3:3">
      <c r="C363" s="59"/>
    </row>
    <row r="364" spans="3:3">
      <c r="C364" s="59"/>
    </row>
    <row r="365" spans="3:3">
      <c r="C365" s="59"/>
    </row>
    <row r="366" spans="3:3">
      <c r="C366" s="59"/>
    </row>
    <row r="367" spans="3:3">
      <c r="C367" s="59"/>
    </row>
    <row r="368" spans="3:3">
      <c r="C368" s="59"/>
    </row>
    <row r="369" spans="3:3">
      <c r="C369" s="59"/>
    </row>
    <row r="370" spans="3:3">
      <c r="C370" s="59"/>
    </row>
    <row r="371" spans="3:3">
      <c r="C371" s="59"/>
    </row>
    <row r="372" spans="3:3">
      <c r="C372" s="59"/>
    </row>
    <row r="373" spans="3:3">
      <c r="C373" s="59"/>
    </row>
    <row r="374" spans="3:3">
      <c r="C374" s="59"/>
    </row>
    <row r="375" spans="3:3">
      <c r="C375" s="59"/>
    </row>
    <row r="376" spans="3:3">
      <c r="C376" s="59"/>
    </row>
    <row r="377" spans="3:3">
      <c r="C377" s="59"/>
    </row>
    <row r="378" spans="3:3">
      <c r="C378" s="59"/>
    </row>
    <row r="379" spans="3:3">
      <c r="C379" s="59"/>
    </row>
    <row r="380" spans="3:3">
      <c r="C380" s="59"/>
    </row>
    <row r="381" spans="3:3">
      <c r="C381" s="59"/>
    </row>
    <row r="382" spans="3:3">
      <c r="C382" s="59"/>
    </row>
    <row r="383" spans="3:3">
      <c r="C383" s="59"/>
    </row>
    <row r="384" spans="3:3">
      <c r="C384" s="59"/>
    </row>
    <row r="385" spans="3:3">
      <c r="C385" s="59"/>
    </row>
    <row r="386" spans="3:3">
      <c r="C386" s="59"/>
    </row>
    <row r="387" spans="3:3">
      <c r="C387" s="59"/>
    </row>
    <row r="388" spans="3:3">
      <c r="C388" s="59"/>
    </row>
    <row r="389" spans="3:3">
      <c r="C389" s="59"/>
    </row>
    <row r="390" spans="3:3">
      <c r="C390" s="59"/>
    </row>
    <row r="391" spans="3:3">
      <c r="C391" s="59"/>
    </row>
    <row r="392" spans="3:3">
      <c r="C392" s="59"/>
    </row>
    <row r="393" spans="3:3">
      <c r="C393" s="59"/>
    </row>
    <row r="394" spans="3:3">
      <c r="C394" s="59"/>
    </row>
    <row r="395" spans="3:3">
      <c r="C395" s="59"/>
    </row>
    <row r="396" spans="3:3">
      <c r="C396" s="59"/>
    </row>
    <row r="397" spans="3:3">
      <c r="C397" s="59"/>
    </row>
    <row r="398" spans="3:3">
      <c r="C398" s="59"/>
    </row>
    <row r="399" spans="3:3">
      <c r="C399" s="59"/>
    </row>
    <row r="400" spans="3:3">
      <c r="C400" s="59"/>
    </row>
    <row r="401" spans="3:3">
      <c r="C401" s="59"/>
    </row>
    <row r="402" spans="3:3">
      <c r="C402" s="59"/>
    </row>
    <row r="403" spans="3:3">
      <c r="C403" s="59"/>
    </row>
    <row r="404" spans="3:3">
      <c r="C404" s="59"/>
    </row>
    <row r="405" spans="3:3">
      <c r="C405" s="59"/>
    </row>
    <row r="406" spans="3:3">
      <c r="C406" s="59"/>
    </row>
    <row r="407" spans="3:3">
      <c r="C407" s="59"/>
    </row>
    <row r="408" spans="3:3">
      <c r="C408" s="59"/>
    </row>
    <row r="409" spans="3:3">
      <c r="C409" s="59"/>
    </row>
    <row r="410" spans="3:3">
      <c r="C410" s="59"/>
    </row>
    <row r="411" spans="3:3">
      <c r="C411" s="59"/>
    </row>
    <row r="412" spans="3:3">
      <c r="C412" s="59"/>
    </row>
    <row r="413" spans="3:3">
      <c r="C413" s="59"/>
    </row>
    <row r="414" spans="3:3">
      <c r="C414" s="59"/>
    </row>
    <row r="415" spans="3:3">
      <c r="C415" s="59"/>
    </row>
    <row r="416" spans="3:3">
      <c r="C416" s="59"/>
    </row>
    <row r="417" spans="3:3">
      <c r="C417" s="59"/>
    </row>
    <row r="418" spans="3:3">
      <c r="C418" s="59"/>
    </row>
    <row r="419" spans="3:3">
      <c r="C419" s="59"/>
    </row>
    <row r="420" spans="3:3">
      <c r="C420" s="59"/>
    </row>
    <row r="421" spans="3:3">
      <c r="C421" s="59"/>
    </row>
    <row r="422" spans="3:3">
      <c r="C422" s="59"/>
    </row>
    <row r="423" spans="3:3">
      <c r="C423" s="59"/>
    </row>
    <row r="424" spans="3:3">
      <c r="C424" s="59"/>
    </row>
    <row r="425" spans="3:3">
      <c r="C425" s="59"/>
    </row>
    <row r="426" spans="3:3">
      <c r="C426" s="59"/>
    </row>
    <row r="427" spans="3:3">
      <c r="C427" s="59"/>
    </row>
    <row r="428" spans="3:3">
      <c r="C428" s="59"/>
    </row>
    <row r="429" spans="3:3">
      <c r="C429" s="59"/>
    </row>
    <row r="430" spans="3:3">
      <c r="C430" s="59"/>
    </row>
    <row r="431" spans="3:3">
      <c r="C431" s="59"/>
    </row>
    <row r="432" spans="3:3">
      <c r="C432" s="59"/>
    </row>
    <row r="433" spans="3:3">
      <c r="C433" s="59"/>
    </row>
    <row r="434" spans="3:3">
      <c r="C434" s="59"/>
    </row>
    <row r="435" spans="3:3">
      <c r="C435" s="59"/>
    </row>
    <row r="436" spans="3:3">
      <c r="C436" s="59"/>
    </row>
    <row r="437" spans="3:3">
      <c r="C437" s="59"/>
    </row>
    <row r="438" spans="3:3">
      <c r="C438" s="59"/>
    </row>
    <row r="439" spans="3:3">
      <c r="C439" s="59"/>
    </row>
    <row r="440" spans="3:3">
      <c r="C440" s="59"/>
    </row>
    <row r="441" spans="3:3">
      <c r="C441" s="59"/>
    </row>
    <row r="442" spans="3:3">
      <c r="C442" s="59"/>
    </row>
    <row r="443" spans="3:3">
      <c r="C443" s="59"/>
    </row>
    <row r="444" spans="3:3">
      <c r="C444" s="59"/>
    </row>
    <row r="445" spans="3:3">
      <c r="C445" s="59"/>
    </row>
    <row r="446" spans="3:3">
      <c r="C446" s="59"/>
    </row>
    <row r="447" spans="3:3">
      <c r="C447" s="59"/>
    </row>
    <row r="448" spans="3:3">
      <c r="C448" s="59"/>
    </row>
    <row r="449" spans="3:3">
      <c r="C449" s="59"/>
    </row>
    <row r="450" spans="3:3">
      <c r="C450" s="59"/>
    </row>
    <row r="451" spans="3:3">
      <c r="C451" s="59"/>
    </row>
    <row r="452" spans="3:3">
      <c r="C452" s="59"/>
    </row>
    <row r="453" spans="3:3">
      <c r="C453" s="59"/>
    </row>
    <row r="454" spans="3:3">
      <c r="C454" s="59"/>
    </row>
    <row r="455" spans="3:3">
      <c r="C455" s="59"/>
    </row>
    <row r="456" spans="3:3">
      <c r="C456" s="59"/>
    </row>
    <row r="457" spans="3:3">
      <c r="C457" s="59"/>
    </row>
    <row r="458" spans="3:3">
      <c r="C458" s="59"/>
    </row>
    <row r="459" spans="3:3">
      <c r="C459" s="59"/>
    </row>
    <row r="460" spans="3:3">
      <c r="C460" s="59"/>
    </row>
    <row r="461" spans="3:3">
      <c r="C461" s="59"/>
    </row>
    <row r="462" spans="3:3">
      <c r="C462" s="59"/>
    </row>
    <row r="463" spans="3:3">
      <c r="C463" s="59"/>
    </row>
    <row r="464" spans="3:3">
      <c r="C464" s="59"/>
    </row>
    <row r="465" spans="3:3">
      <c r="C465" s="59"/>
    </row>
    <row r="466" spans="3:3">
      <c r="C466" s="59"/>
    </row>
    <row r="467" spans="3:3">
      <c r="C467" s="59"/>
    </row>
    <row r="468" spans="3:3">
      <c r="C468" s="59"/>
    </row>
    <row r="469" spans="3:3">
      <c r="C469" s="59"/>
    </row>
    <row r="470" spans="3:3">
      <c r="C470" s="59"/>
    </row>
    <row r="471" spans="3:3">
      <c r="C471" s="59"/>
    </row>
    <row r="472" spans="3:3">
      <c r="C472" s="59"/>
    </row>
    <row r="473" spans="3:3">
      <c r="C473" s="59"/>
    </row>
    <row r="474" spans="3:3">
      <c r="C474" s="59"/>
    </row>
    <row r="475" spans="3:3">
      <c r="C475" s="59"/>
    </row>
    <row r="476" spans="3:3">
      <c r="C476" s="59"/>
    </row>
    <row r="477" spans="3:3">
      <c r="C477" s="59"/>
    </row>
    <row r="478" spans="3:3">
      <c r="C478" s="59"/>
    </row>
    <row r="479" spans="3:3">
      <c r="C479" s="59"/>
    </row>
    <row r="480" spans="3:3">
      <c r="C480" s="59"/>
    </row>
    <row r="481" spans="3:3">
      <c r="C481" s="59"/>
    </row>
    <row r="482" spans="3:3">
      <c r="C482" s="59"/>
    </row>
    <row r="483" spans="3:3">
      <c r="C483" s="59"/>
    </row>
    <row r="484" spans="3:3">
      <c r="C484" s="59"/>
    </row>
    <row r="485" spans="3:3">
      <c r="C485" s="59"/>
    </row>
    <row r="486" spans="3:3">
      <c r="C486" s="59"/>
    </row>
    <row r="487" spans="3:3">
      <c r="C487" s="59"/>
    </row>
    <row r="488" spans="3:3">
      <c r="C488" s="59"/>
    </row>
    <row r="489" spans="3:3">
      <c r="C489" s="59"/>
    </row>
    <row r="490" spans="3:3">
      <c r="C490" s="59"/>
    </row>
    <row r="491" spans="3:3">
      <c r="C491" s="59"/>
    </row>
    <row r="492" spans="3:3">
      <c r="C492" s="59"/>
    </row>
    <row r="493" spans="3:3">
      <c r="C493" s="59"/>
    </row>
    <row r="494" spans="3:3">
      <c r="C494" s="59"/>
    </row>
    <row r="495" spans="3:3">
      <c r="C495" s="59"/>
    </row>
    <row r="496" spans="3:3">
      <c r="C496" s="59"/>
    </row>
    <row r="497" spans="3:3">
      <c r="C497" s="59"/>
    </row>
    <row r="498" spans="3:3">
      <c r="C498" s="59"/>
    </row>
    <row r="499" spans="3:3">
      <c r="C499" s="59"/>
    </row>
    <row r="500" spans="3:3">
      <c r="C500" s="59"/>
    </row>
    <row r="501" spans="3:3">
      <c r="C501" s="59"/>
    </row>
    <row r="502" spans="3:3">
      <c r="C502" s="59"/>
    </row>
    <row r="503" spans="3:3">
      <c r="C503" s="59"/>
    </row>
    <row r="504" spans="3:3">
      <c r="C504" s="59"/>
    </row>
    <row r="505" spans="3:3">
      <c r="C505" s="59"/>
    </row>
    <row r="506" spans="3:3">
      <c r="C506" s="59"/>
    </row>
    <row r="507" spans="3:3">
      <c r="C507" s="59"/>
    </row>
    <row r="508" spans="3:3">
      <c r="C508" s="59"/>
    </row>
    <row r="509" spans="3:3">
      <c r="C509" s="59"/>
    </row>
    <row r="510" spans="3:3">
      <c r="C510" s="59"/>
    </row>
    <row r="511" spans="3:3">
      <c r="C511" s="59"/>
    </row>
    <row r="512" spans="3:3">
      <c r="C512" s="59"/>
    </row>
    <row r="513" spans="3:3">
      <c r="C513" s="59"/>
    </row>
    <row r="514" spans="3:3">
      <c r="C514" s="59"/>
    </row>
    <row r="515" spans="3:3">
      <c r="C515" s="59"/>
    </row>
    <row r="516" spans="3:3">
      <c r="C516" s="59"/>
    </row>
    <row r="517" spans="3:3">
      <c r="C517" s="59"/>
    </row>
    <row r="518" spans="3:3">
      <c r="C518" s="59"/>
    </row>
    <row r="519" spans="3:3">
      <c r="C519" s="59"/>
    </row>
    <row r="520" spans="3:3">
      <c r="C520" s="59"/>
    </row>
    <row r="521" spans="3:3">
      <c r="C521" s="59"/>
    </row>
    <row r="522" spans="3:3">
      <c r="C522" s="59"/>
    </row>
    <row r="523" spans="3:3">
      <c r="C523" s="59"/>
    </row>
    <row r="524" spans="3:3">
      <c r="C524" s="59"/>
    </row>
    <row r="525" spans="3:3">
      <c r="C525" s="59"/>
    </row>
    <row r="526" spans="3:3">
      <c r="C526" s="59"/>
    </row>
    <row r="527" spans="3:3">
      <c r="C527" s="59"/>
    </row>
    <row r="528" spans="3:3">
      <c r="C528" s="59"/>
    </row>
    <row r="529" spans="3:3">
      <c r="C529" s="59"/>
    </row>
    <row r="530" spans="3:3">
      <c r="C530" s="59"/>
    </row>
    <row r="531" spans="3:3">
      <c r="C531" s="59"/>
    </row>
    <row r="532" spans="3:3">
      <c r="C532" s="59"/>
    </row>
    <row r="533" spans="3:3">
      <c r="C533" s="59"/>
    </row>
    <row r="534" spans="3:3">
      <c r="C534" s="59"/>
    </row>
    <row r="535" spans="3:3">
      <c r="C535" s="59"/>
    </row>
    <row r="536" spans="3:3">
      <c r="C536" s="59"/>
    </row>
    <row r="537" spans="3:3">
      <c r="C537" s="59"/>
    </row>
    <row r="538" spans="3:3">
      <c r="C538" s="59"/>
    </row>
    <row r="539" spans="3:3">
      <c r="C539" s="59"/>
    </row>
    <row r="540" spans="3:3">
      <c r="C540" s="59"/>
    </row>
    <row r="541" spans="3:3">
      <c r="C541" s="59"/>
    </row>
    <row r="542" spans="3:3">
      <c r="C542" s="59"/>
    </row>
    <row r="543" spans="3:3">
      <c r="C543" s="59"/>
    </row>
    <row r="544" spans="3:3">
      <c r="C544" s="59"/>
    </row>
    <row r="545" spans="3:3">
      <c r="C545" s="59"/>
    </row>
    <row r="546" spans="3:3">
      <c r="C546" s="59"/>
    </row>
    <row r="547" spans="3:3">
      <c r="C547" s="59"/>
    </row>
    <row r="548" spans="3:3">
      <c r="C548" s="59"/>
    </row>
    <row r="549" spans="3:3">
      <c r="C549" s="59"/>
    </row>
    <row r="550" spans="3:3">
      <c r="C550" s="59"/>
    </row>
    <row r="551" spans="3:3">
      <c r="C551" s="59"/>
    </row>
    <row r="552" spans="3:3">
      <c r="C552" s="59"/>
    </row>
    <row r="553" spans="3:3">
      <c r="C553" s="59"/>
    </row>
    <row r="554" spans="3:3">
      <c r="C554" s="59"/>
    </row>
    <row r="555" spans="3:3">
      <c r="C555" s="59"/>
    </row>
    <row r="556" spans="3:3">
      <c r="C556" s="59"/>
    </row>
    <row r="557" spans="3:3">
      <c r="C557" s="59"/>
    </row>
    <row r="558" spans="3:3">
      <c r="C558" s="59"/>
    </row>
    <row r="559" spans="3:3">
      <c r="C559" s="59"/>
    </row>
    <row r="560" spans="3:3">
      <c r="C560" s="59"/>
    </row>
    <row r="561" spans="3:3">
      <c r="C561" s="59"/>
    </row>
    <row r="562" spans="3:3">
      <c r="C562" s="59"/>
    </row>
    <row r="563" spans="3:3">
      <c r="C563" s="59"/>
    </row>
    <row r="564" spans="3:3">
      <c r="C564" s="59"/>
    </row>
    <row r="565" spans="3:3">
      <c r="C565" s="59"/>
    </row>
    <row r="566" spans="3:3">
      <c r="C566" s="59"/>
    </row>
    <row r="567" spans="3:3">
      <c r="C567" s="59"/>
    </row>
    <row r="568" spans="3:3">
      <c r="C568" s="59"/>
    </row>
    <row r="569" spans="3:3">
      <c r="C569" s="59"/>
    </row>
    <row r="570" spans="3:3">
      <c r="C570" s="59"/>
    </row>
    <row r="571" spans="3:3">
      <c r="C571" s="59"/>
    </row>
    <row r="572" spans="3:3">
      <c r="C572" s="59"/>
    </row>
    <row r="573" spans="3:3">
      <c r="C573" s="59"/>
    </row>
    <row r="574" spans="3:3">
      <c r="C574" s="59"/>
    </row>
    <row r="575" spans="3:3">
      <c r="C575" s="59"/>
    </row>
    <row r="576" spans="3:3">
      <c r="C576" s="59"/>
    </row>
    <row r="577" spans="3:3">
      <c r="C577" s="59"/>
    </row>
    <row r="578" spans="3:3">
      <c r="C578" s="59"/>
    </row>
    <row r="579" spans="3:3">
      <c r="C579" s="59"/>
    </row>
    <row r="580" spans="3:3">
      <c r="C580" s="59"/>
    </row>
    <row r="581" spans="3:3">
      <c r="C581" s="59"/>
    </row>
    <row r="582" spans="3:3">
      <c r="C582" s="59"/>
    </row>
    <row r="583" spans="3:3">
      <c r="C583" s="59"/>
    </row>
    <row r="584" spans="3:3">
      <c r="C584" s="59"/>
    </row>
    <row r="585" spans="3:3">
      <c r="C585" s="59"/>
    </row>
    <row r="586" spans="3:3">
      <c r="C586" s="59"/>
    </row>
    <row r="587" spans="3:3">
      <c r="C587" s="59"/>
    </row>
    <row r="588" spans="3:3">
      <c r="C588" s="59"/>
    </row>
    <row r="589" spans="3:3">
      <c r="C589" s="59"/>
    </row>
    <row r="590" spans="3:3">
      <c r="C590" s="59"/>
    </row>
    <row r="591" spans="3:3">
      <c r="C591" s="59"/>
    </row>
    <row r="592" spans="3:3">
      <c r="C592" s="59"/>
    </row>
    <row r="593" spans="3:3">
      <c r="C593" s="59"/>
    </row>
    <row r="594" spans="3:3">
      <c r="C594" s="59"/>
    </row>
    <row r="595" spans="3:3">
      <c r="C595" s="59"/>
    </row>
    <row r="596" spans="3:3">
      <c r="C596" s="59"/>
    </row>
    <row r="597" spans="3:3">
      <c r="C597" s="59"/>
    </row>
    <row r="598" spans="3:3">
      <c r="C598" s="59"/>
    </row>
    <row r="599" spans="3:3">
      <c r="C599" s="59"/>
    </row>
    <row r="600" spans="3:3">
      <c r="C600" s="59"/>
    </row>
    <row r="601" spans="3:3">
      <c r="C601" s="59"/>
    </row>
    <row r="602" spans="3:3">
      <c r="C602" s="59"/>
    </row>
    <row r="603" spans="3:3">
      <c r="C603" s="59"/>
    </row>
    <row r="604" spans="3:3">
      <c r="C604" s="59"/>
    </row>
    <row r="605" spans="3:3">
      <c r="C605" s="59"/>
    </row>
    <row r="606" spans="3:3">
      <c r="C606" s="59"/>
    </row>
    <row r="607" spans="3:3">
      <c r="C607" s="59"/>
    </row>
    <row r="608" spans="3:3">
      <c r="C608" s="59"/>
    </row>
    <row r="609" spans="3:3">
      <c r="C609" s="59"/>
    </row>
    <row r="610" spans="3:3">
      <c r="C610" s="59"/>
    </row>
    <row r="611" spans="3:3">
      <c r="C611" s="59"/>
    </row>
    <row r="612" spans="3:3">
      <c r="C612" s="59"/>
    </row>
    <row r="613" spans="3:3">
      <c r="C613" s="59"/>
    </row>
    <row r="614" spans="3:3">
      <c r="C614" s="59"/>
    </row>
    <row r="615" spans="3:3">
      <c r="C615" s="59"/>
    </row>
    <row r="616" spans="3:3">
      <c r="C616" s="59"/>
    </row>
    <row r="617" spans="3:3">
      <c r="C617" s="59"/>
    </row>
    <row r="618" spans="3:3">
      <c r="C618" s="59"/>
    </row>
    <row r="619" spans="3:3">
      <c r="C619" s="59"/>
    </row>
    <row r="620" spans="3:3">
      <c r="C620" s="59"/>
    </row>
    <row r="621" spans="3:3">
      <c r="C621" s="59"/>
    </row>
    <row r="622" spans="3:3">
      <c r="C622" s="59"/>
    </row>
    <row r="623" spans="3:3">
      <c r="C623" s="59"/>
    </row>
    <row r="624" spans="3:3">
      <c r="C624" s="59"/>
    </row>
    <row r="625" spans="3:3">
      <c r="C625" s="59"/>
    </row>
    <row r="626" spans="3:3">
      <c r="C626" s="59"/>
    </row>
    <row r="627" spans="3:3">
      <c r="C627" s="59"/>
    </row>
    <row r="628" spans="3:3">
      <c r="C628" s="59"/>
    </row>
    <row r="629" spans="3:3">
      <c r="C629" s="59"/>
    </row>
    <row r="630" spans="3:3">
      <c r="C630" s="59"/>
    </row>
    <row r="631" spans="3:3">
      <c r="C631" s="59"/>
    </row>
    <row r="632" spans="3:3">
      <c r="C632" s="59"/>
    </row>
    <row r="633" spans="3:3">
      <c r="C633" s="59"/>
    </row>
    <row r="634" spans="3:3">
      <c r="C634" s="59"/>
    </row>
    <row r="635" spans="3:3">
      <c r="C635" s="59"/>
    </row>
    <row r="636" spans="3:3">
      <c r="C636" s="59"/>
    </row>
    <row r="637" spans="3:3">
      <c r="C637" s="59"/>
    </row>
    <row r="638" spans="3:3">
      <c r="C638" s="59"/>
    </row>
    <row r="639" spans="3:3">
      <c r="C639" s="59"/>
    </row>
    <row r="640" spans="3:3">
      <c r="C640" s="59"/>
    </row>
    <row r="641" spans="3:3">
      <c r="C641" s="59"/>
    </row>
    <row r="642" spans="3:3">
      <c r="C642" s="59"/>
    </row>
    <row r="643" spans="3:3">
      <c r="C643" s="59"/>
    </row>
    <row r="644" spans="3:3">
      <c r="C644" s="59"/>
    </row>
    <row r="645" spans="3:3">
      <c r="C645" s="59"/>
    </row>
    <row r="646" spans="3:3">
      <c r="C646" s="59"/>
    </row>
    <row r="647" spans="3:3">
      <c r="C647" s="59"/>
    </row>
    <row r="648" spans="3:3">
      <c r="C648" s="59"/>
    </row>
    <row r="649" spans="3:3">
      <c r="C649" s="59"/>
    </row>
    <row r="650" spans="3:3">
      <c r="C650" s="59"/>
    </row>
    <row r="651" spans="3:3">
      <c r="C651" s="59"/>
    </row>
    <row r="652" spans="3:3">
      <c r="C652" s="59"/>
    </row>
    <row r="653" spans="3:3">
      <c r="C653" s="59"/>
    </row>
    <row r="654" spans="3:3">
      <c r="C654" s="59"/>
    </row>
    <row r="655" spans="3:3">
      <c r="C655" s="59"/>
    </row>
    <row r="656" spans="3:3">
      <c r="C656" s="59"/>
    </row>
    <row r="657" spans="3:3">
      <c r="C657" s="59"/>
    </row>
    <row r="658" spans="3:3">
      <c r="C658" s="59"/>
    </row>
    <row r="659" spans="3:3">
      <c r="C659" s="59"/>
    </row>
    <row r="660" spans="3:3">
      <c r="C660" s="59"/>
    </row>
    <row r="661" spans="3:3">
      <c r="C661" s="59"/>
    </row>
    <row r="662" spans="3:3">
      <c r="C662" s="59"/>
    </row>
    <row r="663" spans="3:3">
      <c r="C663" s="59"/>
    </row>
    <row r="664" spans="3:3">
      <c r="C664" s="59"/>
    </row>
    <row r="665" spans="3:3">
      <c r="C665" s="59"/>
    </row>
    <row r="666" spans="3:3">
      <c r="C666" s="59"/>
    </row>
    <row r="667" spans="3:3">
      <c r="C667" s="59"/>
    </row>
    <row r="668" spans="3:3">
      <c r="C668" s="59"/>
    </row>
    <row r="669" spans="3:3">
      <c r="C669" s="59"/>
    </row>
    <row r="670" spans="3:3">
      <c r="C670" s="59"/>
    </row>
    <row r="671" spans="3:3">
      <c r="C671" s="59"/>
    </row>
    <row r="672" spans="3:3">
      <c r="C672" s="59"/>
    </row>
    <row r="673" spans="3:3">
      <c r="C673" s="59"/>
    </row>
    <row r="674" spans="3:3">
      <c r="C674" s="59"/>
    </row>
    <row r="675" spans="3:3">
      <c r="C675" s="59"/>
    </row>
    <row r="676" spans="3:3">
      <c r="C676" s="59"/>
    </row>
    <row r="677" spans="3:3">
      <c r="C677" s="59"/>
    </row>
    <row r="678" spans="3:3">
      <c r="C678" s="59"/>
    </row>
    <row r="679" spans="3:3">
      <c r="C679" s="59"/>
    </row>
    <row r="680" spans="3:3">
      <c r="C680" s="59"/>
    </row>
    <row r="681" spans="3:3">
      <c r="C681" s="59"/>
    </row>
    <row r="682" spans="3:3">
      <c r="C682" s="59"/>
    </row>
    <row r="683" spans="3:3">
      <c r="C683" s="59"/>
    </row>
    <row r="684" spans="3:3">
      <c r="C684" s="59"/>
    </row>
    <row r="685" spans="3:3">
      <c r="C685" s="59"/>
    </row>
    <row r="686" spans="3:3">
      <c r="C686" s="59"/>
    </row>
    <row r="687" spans="3:3">
      <c r="C687" s="59"/>
    </row>
    <row r="688" spans="3:3">
      <c r="C688" s="59"/>
    </row>
    <row r="689" spans="3:3">
      <c r="C689" s="59"/>
    </row>
    <row r="690" spans="3:3">
      <c r="C690" s="59"/>
    </row>
    <row r="691" spans="3:3">
      <c r="C691" s="59"/>
    </row>
    <row r="692" spans="3:3">
      <c r="C692" s="59"/>
    </row>
    <row r="693" spans="3:3">
      <c r="C693" s="59"/>
    </row>
    <row r="694" spans="3:3">
      <c r="C694" s="59"/>
    </row>
    <row r="695" spans="3:3">
      <c r="C695" s="59"/>
    </row>
    <row r="696" spans="3:3">
      <c r="C696" s="59"/>
    </row>
    <row r="697" spans="3:3">
      <c r="C697" s="59"/>
    </row>
    <row r="698" spans="3:3">
      <c r="C698" s="59"/>
    </row>
    <row r="699" spans="3:3">
      <c r="C699" s="59"/>
    </row>
    <row r="700" spans="3:3">
      <c r="C700" s="59"/>
    </row>
    <row r="701" spans="3:3">
      <c r="C701" s="59"/>
    </row>
    <row r="702" spans="3:3">
      <c r="C702" s="59"/>
    </row>
    <row r="703" spans="3:3">
      <c r="C703" s="59"/>
    </row>
    <row r="704" spans="3:3">
      <c r="C704" s="59"/>
    </row>
    <row r="705" spans="3:3">
      <c r="C705" s="59"/>
    </row>
    <row r="706" spans="3:3">
      <c r="C706" s="59"/>
    </row>
    <row r="707" spans="3:3">
      <c r="C707" s="59"/>
    </row>
    <row r="708" spans="3:3">
      <c r="C708" s="59"/>
    </row>
    <row r="709" spans="3:3">
      <c r="C709" s="59"/>
    </row>
    <row r="710" spans="3:3">
      <c r="C710" s="59"/>
    </row>
    <row r="711" spans="3:3">
      <c r="C711" s="59"/>
    </row>
    <row r="712" spans="3:3">
      <c r="C712" s="59"/>
    </row>
    <row r="713" spans="3:3">
      <c r="C713" s="59"/>
    </row>
    <row r="714" spans="3:3">
      <c r="C714" s="59"/>
    </row>
    <row r="715" spans="3:3">
      <c r="C715" s="59"/>
    </row>
    <row r="716" spans="3:3">
      <c r="C716" s="59"/>
    </row>
    <row r="717" spans="3:3">
      <c r="C717" s="59"/>
    </row>
    <row r="718" spans="3:3">
      <c r="C718" s="59"/>
    </row>
    <row r="719" spans="3:3">
      <c r="C719" s="59"/>
    </row>
    <row r="720" spans="3:3">
      <c r="C720" s="59"/>
    </row>
    <row r="721" spans="3:3">
      <c r="C721" s="59"/>
    </row>
    <row r="722" spans="3:3">
      <c r="C722" s="59"/>
    </row>
    <row r="723" spans="3:3">
      <c r="C723" s="59"/>
    </row>
    <row r="724" spans="3:3">
      <c r="C724" s="59"/>
    </row>
    <row r="725" spans="3:3">
      <c r="C725" s="59"/>
    </row>
    <row r="726" spans="3:3">
      <c r="C726" s="59"/>
    </row>
    <row r="727" spans="3:3">
      <c r="C727" s="59"/>
    </row>
    <row r="728" spans="3:3">
      <c r="C728" s="59"/>
    </row>
    <row r="729" spans="3:3">
      <c r="C729" s="59"/>
    </row>
    <row r="730" spans="3:3">
      <c r="C730" s="59"/>
    </row>
    <row r="731" spans="3:3">
      <c r="C731" s="59"/>
    </row>
    <row r="732" spans="3:3">
      <c r="C732" s="59"/>
    </row>
    <row r="733" spans="3:3">
      <c r="C733" s="59"/>
    </row>
    <row r="734" spans="3:3">
      <c r="C734" s="59"/>
    </row>
    <row r="735" spans="3:3">
      <c r="C735" s="59"/>
    </row>
    <row r="736" spans="3:3">
      <c r="C736" s="59"/>
    </row>
    <row r="737" spans="3:3">
      <c r="C737" s="59"/>
    </row>
    <row r="738" spans="3:3">
      <c r="C738" s="59"/>
    </row>
    <row r="739" spans="3:3">
      <c r="C739" s="59"/>
    </row>
    <row r="740" spans="3:3">
      <c r="C740" s="59"/>
    </row>
    <row r="741" spans="3:3">
      <c r="C741" s="59"/>
    </row>
    <row r="742" spans="3:3">
      <c r="C742" s="59"/>
    </row>
    <row r="743" spans="3:3">
      <c r="C743" s="59"/>
    </row>
    <row r="744" spans="3:3">
      <c r="C744" s="59"/>
    </row>
    <row r="745" spans="3:3">
      <c r="C745" s="59"/>
    </row>
    <row r="746" spans="3:3">
      <c r="C746" s="59"/>
    </row>
    <row r="747" spans="3:3">
      <c r="C747" s="59"/>
    </row>
    <row r="748" spans="3:3">
      <c r="C748" s="59"/>
    </row>
    <row r="749" spans="3:3">
      <c r="C749" s="59"/>
    </row>
    <row r="750" spans="3:3">
      <c r="C750" s="59"/>
    </row>
    <row r="751" spans="3:3">
      <c r="C751" s="59"/>
    </row>
    <row r="752" spans="3:3">
      <c r="C752" s="59"/>
    </row>
    <row r="753" spans="3:3">
      <c r="C753" s="59"/>
    </row>
    <row r="754" spans="3:3">
      <c r="C754" s="59"/>
    </row>
    <row r="755" spans="3:3">
      <c r="C755" s="59"/>
    </row>
    <row r="756" spans="3:3">
      <c r="C756" s="59"/>
    </row>
    <row r="757" spans="3:3">
      <c r="C757" s="59"/>
    </row>
    <row r="758" spans="3:3">
      <c r="C758" s="59"/>
    </row>
    <row r="759" spans="3:3">
      <c r="C759" s="59"/>
    </row>
    <row r="760" spans="3:3">
      <c r="C760" s="59"/>
    </row>
    <row r="761" spans="3:3">
      <c r="C761" s="59"/>
    </row>
    <row r="762" spans="3:3">
      <c r="C762" s="59"/>
    </row>
    <row r="763" spans="3:3">
      <c r="C763" s="59"/>
    </row>
    <row r="764" spans="3:3">
      <c r="C764" s="59"/>
    </row>
    <row r="765" spans="3:3">
      <c r="C765" s="59"/>
    </row>
    <row r="766" spans="3:3">
      <c r="C766" s="59"/>
    </row>
    <row r="767" spans="3:3">
      <c r="C767" s="59"/>
    </row>
    <row r="768" spans="3:3">
      <c r="C768" s="59"/>
    </row>
    <row r="769" spans="3:3">
      <c r="C769" s="59"/>
    </row>
    <row r="770" spans="3:3">
      <c r="C770" s="59"/>
    </row>
    <row r="771" spans="3:3">
      <c r="C771" s="59"/>
    </row>
    <row r="772" spans="3:3">
      <c r="C772" s="59"/>
    </row>
    <row r="773" spans="3:3">
      <c r="C773" s="59"/>
    </row>
    <row r="774" spans="3:3">
      <c r="C774" s="59"/>
    </row>
    <row r="775" spans="3:3">
      <c r="C775" s="59"/>
    </row>
    <row r="776" spans="3:3">
      <c r="C776" s="59"/>
    </row>
    <row r="777" spans="3:3">
      <c r="C777" s="59"/>
    </row>
    <row r="778" spans="3:3">
      <c r="C778" s="59"/>
    </row>
    <row r="779" spans="3:3">
      <c r="C779" s="59"/>
    </row>
    <row r="780" spans="3:3">
      <c r="C780" s="59"/>
    </row>
    <row r="781" spans="3:3">
      <c r="C781" s="59"/>
    </row>
    <row r="782" spans="3:3">
      <c r="C782" s="59"/>
    </row>
    <row r="783" spans="3:3">
      <c r="C783" s="59"/>
    </row>
    <row r="784" spans="3:3">
      <c r="C784" s="59"/>
    </row>
    <row r="785" spans="3:3">
      <c r="C785" s="59"/>
    </row>
    <row r="786" spans="3:3">
      <c r="C786" s="59"/>
    </row>
    <row r="787" spans="3:3">
      <c r="C787" s="59"/>
    </row>
    <row r="788" spans="3:3">
      <c r="C788" s="59"/>
    </row>
    <row r="789" spans="3:3">
      <c r="C789" s="59"/>
    </row>
    <row r="790" spans="3:3">
      <c r="C790" s="59"/>
    </row>
    <row r="791" spans="3:3">
      <c r="C791" s="59"/>
    </row>
    <row r="792" spans="3:3">
      <c r="C792" s="59"/>
    </row>
    <row r="793" spans="3:3">
      <c r="C793" s="59"/>
    </row>
    <row r="794" spans="3:3">
      <c r="C794" s="59"/>
    </row>
    <row r="795" spans="3:3">
      <c r="C795" s="59"/>
    </row>
    <row r="796" spans="3:3">
      <c r="C796" s="59"/>
    </row>
    <row r="797" spans="3:3">
      <c r="C797" s="59"/>
    </row>
    <row r="798" spans="3:3">
      <c r="C798" s="59"/>
    </row>
    <row r="799" spans="3:3">
      <c r="C799" s="59"/>
    </row>
    <row r="800" spans="3:3">
      <c r="C800" s="59"/>
    </row>
    <row r="801" spans="3:3">
      <c r="C801" s="59"/>
    </row>
    <row r="802" spans="3:3">
      <c r="C802" s="59"/>
    </row>
    <row r="803" spans="3:3">
      <c r="C803" s="59"/>
    </row>
    <row r="804" spans="3:3">
      <c r="C804" s="59"/>
    </row>
    <row r="805" spans="3:3">
      <c r="C805" s="59"/>
    </row>
    <row r="806" spans="3:3">
      <c r="C806" s="59"/>
    </row>
    <row r="807" spans="3:3">
      <c r="C807" s="59"/>
    </row>
    <row r="808" spans="3:3">
      <c r="C808" s="59"/>
    </row>
    <row r="809" spans="3:3">
      <c r="C809" s="59"/>
    </row>
    <row r="810" spans="3:3">
      <c r="C810" s="59"/>
    </row>
    <row r="811" spans="3:3">
      <c r="C811" s="59"/>
    </row>
    <row r="812" spans="3:3">
      <c r="C812" s="59"/>
    </row>
    <row r="813" spans="3:3">
      <c r="C813" s="59"/>
    </row>
    <row r="814" spans="3:3">
      <c r="C814" s="59"/>
    </row>
    <row r="815" spans="3:3">
      <c r="C815" s="59"/>
    </row>
    <row r="816" spans="3:3">
      <c r="C816" s="59"/>
    </row>
    <row r="817" spans="3:3">
      <c r="C817" s="59"/>
    </row>
    <row r="818" spans="3:3">
      <c r="C818" s="59"/>
    </row>
    <row r="819" spans="3:3">
      <c r="C819" s="59"/>
    </row>
    <row r="820" spans="3:3">
      <c r="C820" s="59"/>
    </row>
    <row r="821" spans="3:3">
      <c r="C821" s="59"/>
    </row>
    <row r="822" spans="3:3">
      <c r="C822" s="59"/>
    </row>
    <row r="823" spans="3:3">
      <c r="C823" s="59"/>
    </row>
    <row r="824" spans="3:3">
      <c r="C824" s="59"/>
    </row>
    <row r="825" spans="3:3">
      <c r="C825" s="59"/>
    </row>
    <row r="826" spans="3:3">
      <c r="C826" s="59"/>
    </row>
    <row r="827" spans="3:3">
      <c r="C827" s="59"/>
    </row>
    <row r="828" spans="3:3">
      <c r="C828" s="59"/>
    </row>
    <row r="829" spans="3:3">
      <c r="C829" s="59"/>
    </row>
    <row r="830" spans="3:3">
      <c r="C830" s="59"/>
    </row>
    <row r="831" spans="3:3">
      <c r="C831" s="59"/>
    </row>
    <row r="832" spans="3:3">
      <c r="C832" s="59"/>
    </row>
    <row r="833" spans="3:3">
      <c r="C833" s="59"/>
    </row>
    <row r="834" spans="3:3">
      <c r="C834" s="59"/>
    </row>
    <row r="835" spans="3:3">
      <c r="C835" s="59"/>
    </row>
    <row r="836" spans="3:3">
      <c r="C836" s="59"/>
    </row>
    <row r="837" spans="3:3">
      <c r="C837" s="59"/>
    </row>
    <row r="838" spans="3:3">
      <c r="C838" s="59"/>
    </row>
    <row r="839" spans="3:3">
      <c r="C839" s="59"/>
    </row>
    <row r="840" spans="3:3">
      <c r="C840" s="59"/>
    </row>
    <row r="841" spans="3:3">
      <c r="C841" s="59"/>
    </row>
    <row r="842" spans="3:3">
      <c r="C842" s="59"/>
    </row>
    <row r="843" spans="3:3">
      <c r="C843" s="59"/>
    </row>
    <row r="844" spans="3:3">
      <c r="C844" s="59"/>
    </row>
    <row r="845" spans="3:3">
      <c r="C845" s="59"/>
    </row>
    <row r="846" spans="3:3">
      <c r="C846" s="59"/>
    </row>
    <row r="847" spans="3:3">
      <c r="C847" s="59"/>
    </row>
    <row r="848" spans="3:3">
      <c r="C848" s="59"/>
    </row>
    <row r="849" spans="3:3">
      <c r="C849" s="59"/>
    </row>
    <row r="850" spans="3:3">
      <c r="C850" s="59"/>
    </row>
    <row r="851" spans="3:3">
      <c r="C851" s="59"/>
    </row>
    <row r="852" spans="3:3">
      <c r="C852" s="59"/>
    </row>
    <row r="853" spans="3:3">
      <c r="C853" s="59"/>
    </row>
    <row r="854" spans="3:3">
      <c r="C854" s="59"/>
    </row>
    <row r="855" spans="3:3">
      <c r="C855" s="59"/>
    </row>
    <row r="856" spans="3:3">
      <c r="C856" s="59"/>
    </row>
    <row r="857" spans="3:3">
      <c r="C857" s="59"/>
    </row>
    <row r="858" spans="3:3">
      <c r="C858" s="59"/>
    </row>
    <row r="859" spans="3:3">
      <c r="C859" s="59"/>
    </row>
    <row r="860" spans="3:3">
      <c r="C860" s="59"/>
    </row>
    <row r="861" spans="3:3">
      <c r="C861" s="59"/>
    </row>
    <row r="862" spans="3:3">
      <c r="C862" s="59"/>
    </row>
    <row r="863" spans="3:3">
      <c r="C863" s="59"/>
    </row>
    <row r="864" spans="3:3">
      <c r="C864" s="59"/>
    </row>
    <row r="865" spans="3:3">
      <c r="C865" s="59"/>
    </row>
    <row r="866" spans="3:3">
      <c r="C866" s="59"/>
    </row>
    <row r="867" spans="3:3">
      <c r="C867" s="59"/>
    </row>
    <row r="868" spans="3:3">
      <c r="C868" s="59"/>
    </row>
    <row r="869" spans="3:3">
      <c r="C869" s="59"/>
    </row>
    <row r="870" spans="3:3">
      <c r="C870" s="59"/>
    </row>
    <row r="871" spans="3:3">
      <c r="C871" s="59"/>
    </row>
    <row r="872" spans="3:3">
      <c r="C872" s="59"/>
    </row>
    <row r="873" spans="3:3">
      <c r="C873" s="59"/>
    </row>
    <row r="874" spans="3:3">
      <c r="C874" s="59"/>
    </row>
    <row r="875" spans="3:3">
      <c r="C875" s="59"/>
    </row>
    <row r="876" spans="3:3">
      <c r="C876" s="59"/>
    </row>
    <row r="877" spans="3:3">
      <c r="C877" s="59"/>
    </row>
    <row r="878" spans="3:3">
      <c r="C878" s="59"/>
    </row>
    <row r="879" spans="3:3">
      <c r="C879" s="59"/>
    </row>
    <row r="880" spans="3:3">
      <c r="C880" s="59"/>
    </row>
    <row r="881" spans="3:3">
      <c r="C881" s="59"/>
    </row>
    <row r="882" spans="3:3">
      <c r="C882" s="59"/>
    </row>
    <row r="883" spans="3:3">
      <c r="C883" s="59"/>
    </row>
    <row r="884" spans="3:3">
      <c r="C884" s="59"/>
    </row>
    <row r="885" spans="3:3">
      <c r="C885" s="59"/>
    </row>
    <row r="886" spans="3:3">
      <c r="C886" s="59"/>
    </row>
    <row r="887" spans="3:3">
      <c r="C887" s="59"/>
    </row>
    <row r="888" spans="3:3">
      <c r="C888" s="59"/>
    </row>
    <row r="889" spans="3:3">
      <c r="C889" s="59"/>
    </row>
    <row r="890" spans="3:3">
      <c r="C890" s="59"/>
    </row>
    <row r="891" spans="3:3">
      <c r="C891" s="59"/>
    </row>
    <row r="892" spans="3:3">
      <c r="C892" s="59"/>
    </row>
    <row r="893" spans="3:3">
      <c r="C893" s="59"/>
    </row>
    <row r="894" spans="3:3">
      <c r="C894" s="59"/>
    </row>
    <row r="895" spans="3:3">
      <c r="C895" s="59"/>
    </row>
    <row r="896" spans="3:3">
      <c r="C896" s="59"/>
    </row>
    <row r="897" spans="3:3">
      <c r="C897" s="59"/>
    </row>
    <row r="898" spans="3:3">
      <c r="C898" s="59"/>
    </row>
    <row r="899" spans="3:3">
      <c r="C899" s="59"/>
    </row>
    <row r="900" spans="3:3">
      <c r="C900" s="59"/>
    </row>
    <row r="901" spans="3:3">
      <c r="C901" s="59"/>
    </row>
    <row r="902" spans="3:3">
      <c r="C902" s="59"/>
    </row>
    <row r="903" spans="3:3">
      <c r="C903" s="59"/>
    </row>
    <row r="904" spans="3:3">
      <c r="C904" s="59"/>
    </row>
    <row r="905" spans="3:3">
      <c r="C905" s="59"/>
    </row>
    <row r="906" spans="3:3">
      <c r="C906" s="59"/>
    </row>
    <row r="907" spans="3:3">
      <c r="C907" s="59"/>
    </row>
    <row r="908" spans="3:3">
      <c r="C908" s="59"/>
    </row>
    <row r="909" spans="3:3">
      <c r="C909" s="59"/>
    </row>
    <row r="910" spans="3:3">
      <c r="C910" s="59"/>
    </row>
    <row r="911" spans="3:3">
      <c r="C911" s="59"/>
    </row>
    <row r="912" spans="3:3">
      <c r="C912" s="59"/>
    </row>
    <row r="913" spans="3:3">
      <c r="C913" s="59"/>
    </row>
    <row r="914" spans="3:3">
      <c r="C914" s="59"/>
    </row>
    <row r="915" spans="3:3">
      <c r="C915" s="59"/>
    </row>
    <row r="916" spans="3:3">
      <c r="C916" s="59"/>
    </row>
    <row r="917" spans="3:3">
      <c r="C917" s="59"/>
    </row>
    <row r="918" spans="3:3">
      <c r="C918" s="59"/>
    </row>
    <row r="919" spans="3:3">
      <c r="C919" s="59"/>
    </row>
    <row r="920" spans="3:3">
      <c r="C920" s="59"/>
    </row>
    <row r="921" spans="3:3">
      <c r="C921" s="59"/>
    </row>
    <row r="922" spans="3:3">
      <c r="C922" s="59"/>
    </row>
    <row r="923" spans="3:3">
      <c r="C923" s="59"/>
    </row>
    <row r="924" spans="3:3">
      <c r="C924" s="59"/>
    </row>
    <row r="925" spans="3:3">
      <c r="C925" s="59"/>
    </row>
    <row r="926" spans="3:3">
      <c r="C926" s="59"/>
    </row>
    <row r="927" spans="3:3">
      <c r="C927" s="59"/>
    </row>
    <row r="928" spans="3:3">
      <c r="C928" s="59"/>
    </row>
    <row r="929" spans="3:3">
      <c r="C929" s="59"/>
    </row>
    <row r="930" spans="3:3">
      <c r="C930" s="59"/>
    </row>
    <row r="931" spans="3:3">
      <c r="C931" s="59"/>
    </row>
    <row r="932" spans="3:3">
      <c r="C932" s="59"/>
    </row>
    <row r="933" spans="3:3">
      <c r="C933" s="59"/>
    </row>
    <row r="934" spans="3:3">
      <c r="C934" s="59"/>
    </row>
    <row r="935" spans="3:3">
      <c r="C935" s="59"/>
    </row>
    <row r="936" spans="3:3">
      <c r="C936" s="59"/>
    </row>
    <row r="937" spans="3:3">
      <c r="C937" s="59"/>
    </row>
    <row r="938" spans="3:3">
      <c r="C938" s="59"/>
    </row>
    <row r="939" spans="3:3">
      <c r="C939" s="59"/>
    </row>
    <row r="940" spans="3:3">
      <c r="C940" s="59"/>
    </row>
    <row r="941" spans="3:3">
      <c r="C941" s="59"/>
    </row>
    <row r="942" spans="3:3">
      <c r="C942" s="59"/>
    </row>
    <row r="943" spans="3:3">
      <c r="C943" s="59"/>
    </row>
    <row r="944" spans="3:3">
      <c r="C944" s="59"/>
    </row>
    <row r="945" spans="3:3">
      <c r="C945" s="59"/>
    </row>
    <row r="946" spans="3:3">
      <c r="C946" s="59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946"/>
  <sheetViews>
    <sheetView tabSelected="1" topLeftCell="G1" workbookViewId="0">
      <pane ySplit="2" topLeftCell="A18" activePane="bottomLeft" state="frozen"/>
      <selection pane="bottomLeft" activeCell="B11" sqref="B11"/>
    </sheetView>
  </sheetViews>
  <sheetFormatPr defaultColWidth="14.42578125" defaultRowHeight="15" customHeight="1"/>
  <cols>
    <col min="1" max="1" width="13.5703125" customWidth="1"/>
  </cols>
  <sheetData>
    <row r="1" spans="1:38" ht="30.75" customHeight="1">
      <c r="A1" s="68" t="s">
        <v>0</v>
      </c>
      <c r="B1" s="70" t="s">
        <v>82</v>
      </c>
      <c r="C1" s="62"/>
      <c r="D1" s="70" t="s">
        <v>1</v>
      </c>
      <c r="E1" s="61"/>
      <c r="F1" s="61"/>
      <c r="G1" s="61"/>
      <c r="H1" s="61"/>
      <c r="I1" s="61"/>
      <c r="J1" s="62"/>
      <c r="K1" s="70" t="s">
        <v>2</v>
      </c>
      <c r="L1" s="61"/>
      <c r="M1" s="62"/>
      <c r="N1" s="70" t="s">
        <v>3</v>
      </c>
      <c r="O1" s="61"/>
      <c r="P1" s="61"/>
      <c r="Q1" s="62"/>
      <c r="R1" s="70" t="s">
        <v>4</v>
      </c>
      <c r="S1" s="61"/>
      <c r="T1" s="62"/>
      <c r="U1" s="71" t="s">
        <v>5</v>
      </c>
      <c r="V1" s="60" t="s">
        <v>6</v>
      </c>
      <c r="W1" s="61"/>
      <c r="X1" s="61"/>
      <c r="Y1" s="62"/>
      <c r="Z1" s="60" t="s">
        <v>7</v>
      </c>
      <c r="AA1" s="61"/>
      <c r="AB1" s="61"/>
      <c r="AC1" s="62"/>
      <c r="AD1" s="60" t="s">
        <v>8</v>
      </c>
      <c r="AE1" s="61"/>
      <c r="AF1" s="61"/>
      <c r="AG1" s="61"/>
      <c r="AH1" s="63" t="s">
        <v>9</v>
      </c>
      <c r="AI1" s="63" t="s">
        <v>10</v>
      </c>
      <c r="AJ1" s="63" t="s">
        <v>11</v>
      </c>
      <c r="AK1" s="65" t="s">
        <v>12</v>
      </c>
      <c r="AL1" s="66" t="s">
        <v>13</v>
      </c>
    </row>
    <row r="2" spans="1:38" ht="45">
      <c r="A2" s="69"/>
      <c r="B2" s="37" t="s">
        <v>83</v>
      </c>
      <c r="C2" s="55" t="s">
        <v>84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21</v>
      </c>
      <c r="S2" s="1" t="s">
        <v>22</v>
      </c>
      <c r="T2" s="1" t="s">
        <v>23</v>
      </c>
      <c r="U2" s="69"/>
      <c r="V2" s="2" t="s">
        <v>28</v>
      </c>
      <c r="W2" s="2" t="s">
        <v>29</v>
      </c>
      <c r="X2" s="2" t="s">
        <v>30</v>
      </c>
      <c r="Y2" s="2" t="s">
        <v>31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24</v>
      </c>
      <c r="AE2" s="1" t="s">
        <v>25</v>
      </c>
      <c r="AF2" s="1" t="s">
        <v>26</v>
      </c>
      <c r="AG2" s="3" t="s">
        <v>27</v>
      </c>
      <c r="AH2" s="64"/>
      <c r="AI2" s="64"/>
      <c r="AJ2" s="64"/>
      <c r="AK2" s="64"/>
      <c r="AL2" s="67"/>
    </row>
    <row r="3" spans="1:38" ht="21" customHeight="1">
      <c r="A3" s="39" t="s">
        <v>366</v>
      </c>
      <c r="B3" s="23">
        <v>4950.34</v>
      </c>
      <c r="C3" s="56">
        <f t="shared" ref="C3:C33" si="0">B4-B3</f>
        <v>78.889999999999418</v>
      </c>
      <c r="D3" s="23">
        <v>7926.84</v>
      </c>
      <c r="E3" s="23">
        <v>539.97</v>
      </c>
      <c r="F3" s="23">
        <v>0.90100000000000002</v>
      </c>
      <c r="G3" s="23">
        <v>0.45500000000000002</v>
      </c>
      <c r="H3" s="23">
        <v>40</v>
      </c>
      <c r="I3" s="5">
        <f t="shared" ref="I3:I33" si="1">(E4-E3)*40</f>
        <v>0.3999999999996362</v>
      </c>
      <c r="J3" s="6">
        <f t="shared" ref="J3:J33" si="2">(D4-D3)*40</f>
        <v>1417.2000000000116</v>
      </c>
      <c r="K3" s="23">
        <v>230738.71</v>
      </c>
      <c r="L3" s="23">
        <v>0.996</v>
      </c>
      <c r="M3" s="7">
        <f t="shared" ref="M3:M33" si="3">(K4-K3)</f>
        <v>168.02999999999884</v>
      </c>
      <c r="N3" s="23">
        <v>113</v>
      </c>
      <c r="O3" s="8">
        <f t="shared" ref="O3:O21" si="4">(N4-N3)</f>
        <v>0</v>
      </c>
      <c r="P3" s="23">
        <v>755.3</v>
      </c>
      <c r="Q3" s="23">
        <v>0</v>
      </c>
      <c r="R3" s="23">
        <v>13120.7</v>
      </c>
      <c r="S3" s="23">
        <v>0.88300000000000001</v>
      </c>
      <c r="T3" s="25">
        <f t="shared" ref="T3:T33" si="5">(R4-R3)</f>
        <v>94.599999999998545</v>
      </c>
      <c r="U3" s="26">
        <f t="shared" ref="U3:U33" si="6">(J3+M3+O3+T3)</f>
        <v>1679.830000000009</v>
      </c>
      <c r="V3" s="35">
        <v>17.98</v>
      </c>
      <c r="W3" s="35">
        <v>14.07</v>
      </c>
      <c r="X3" s="35">
        <v>11.66</v>
      </c>
      <c r="Y3" s="11">
        <f t="shared" ref="Y3:Y33" si="7">SUM(V3:X3)</f>
        <v>43.709999999999994</v>
      </c>
      <c r="Z3" s="23">
        <v>7968.25</v>
      </c>
      <c r="AA3" s="8">
        <f t="shared" ref="AA3:AA33" si="8">(Z4-Z3)</f>
        <v>0</v>
      </c>
      <c r="AB3" s="23">
        <v>3638.54</v>
      </c>
      <c r="AC3" s="23">
        <v>0</v>
      </c>
      <c r="AD3" s="23">
        <v>22520</v>
      </c>
      <c r="AE3" s="8">
        <f t="shared" ref="AE3:AE33" si="9">(AD4-AD3)</f>
        <v>0</v>
      </c>
      <c r="AF3" s="23">
        <v>1636.6</v>
      </c>
      <c r="AG3" s="23">
        <v>0</v>
      </c>
      <c r="AH3" s="36">
        <f t="shared" ref="AH3:AH33" si="10">Y3</f>
        <v>43.709999999999994</v>
      </c>
      <c r="AI3" s="21">
        <f t="shared" ref="AI3:AI33" si="11">I3</f>
        <v>0.3999999999996362</v>
      </c>
      <c r="AJ3" s="22">
        <f t="shared" ref="AJ3:AJ33" si="12">(AH3-AI3)</f>
        <v>43.310000000000358</v>
      </c>
      <c r="AK3" s="27">
        <f t="shared" ref="AK3:AK33" si="13">(U3+AA3+AE3)</f>
        <v>1679.830000000009</v>
      </c>
      <c r="AL3" s="40">
        <f t="shared" ref="AL3:AL33" si="14">(AJ3+AK3)</f>
        <v>1723.1400000000094</v>
      </c>
    </row>
    <row r="4" spans="1:38" ht="25.5" customHeight="1">
      <c r="A4" s="39" t="s">
        <v>367</v>
      </c>
      <c r="B4" s="23">
        <v>5029.2299999999996</v>
      </c>
      <c r="C4" s="56">
        <f t="shared" si="0"/>
        <v>138.21000000000004</v>
      </c>
      <c r="D4" s="23">
        <v>7962.27</v>
      </c>
      <c r="E4" s="23">
        <v>539.98</v>
      </c>
      <c r="F4" s="23">
        <v>0.90200000000000002</v>
      </c>
      <c r="G4" s="23">
        <v>0.45400000000000001</v>
      </c>
      <c r="H4" s="23">
        <v>40</v>
      </c>
      <c r="I4" s="5">
        <f t="shared" si="1"/>
        <v>0</v>
      </c>
      <c r="J4" s="6">
        <f t="shared" si="2"/>
        <v>876.79999999996653</v>
      </c>
      <c r="K4" s="23">
        <v>230906.74</v>
      </c>
      <c r="L4" s="23">
        <v>0.996</v>
      </c>
      <c r="M4" s="7">
        <f t="shared" si="3"/>
        <v>136.44000000000233</v>
      </c>
      <c r="N4" s="23">
        <v>113</v>
      </c>
      <c r="O4" s="8">
        <f t="shared" si="4"/>
        <v>0</v>
      </c>
      <c r="P4" s="23">
        <v>755.3</v>
      </c>
      <c r="Q4" s="23">
        <v>0</v>
      </c>
      <c r="R4" s="23">
        <v>13215.3</v>
      </c>
      <c r="S4" s="23">
        <v>0.88300000000000001</v>
      </c>
      <c r="T4" s="25">
        <f t="shared" si="5"/>
        <v>106.20000000000073</v>
      </c>
      <c r="U4" s="26">
        <f t="shared" si="6"/>
        <v>1119.4399999999696</v>
      </c>
      <c r="V4" s="35">
        <v>14.22</v>
      </c>
      <c r="W4" s="35">
        <v>12.36</v>
      </c>
      <c r="X4" s="35">
        <v>13.4</v>
      </c>
      <c r="Y4" s="11">
        <f t="shared" si="7"/>
        <v>39.979999999999997</v>
      </c>
      <c r="Z4" s="23">
        <v>7968.25</v>
      </c>
      <c r="AA4" s="8">
        <f t="shared" si="8"/>
        <v>0</v>
      </c>
      <c r="AB4" s="23">
        <v>3638.54</v>
      </c>
      <c r="AC4" s="23">
        <v>0</v>
      </c>
      <c r="AD4" s="23">
        <v>22520</v>
      </c>
      <c r="AE4" s="8">
        <f t="shared" si="9"/>
        <v>0</v>
      </c>
      <c r="AF4" s="23">
        <v>1636.6</v>
      </c>
      <c r="AG4" s="23">
        <v>0</v>
      </c>
      <c r="AH4" s="36">
        <f t="shared" si="10"/>
        <v>39.979999999999997</v>
      </c>
      <c r="AI4" s="21">
        <f t="shared" si="11"/>
        <v>0</v>
      </c>
      <c r="AJ4" s="22">
        <f t="shared" si="12"/>
        <v>39.979999999999997</v>
      </c>
      <c r="AK4" s="27">
        <f t="shared" si="13"/>
        <v>1119.4399999999696</v>
      </c>
      <c r="AL4" s="40">
        <f t="shared" si="14"/>
        <v>1159.4199999999696</v>
      </c>
    </row>
    <row r="5" spans="1:38" ht="25.5" customHeight="1">
      <c r="A5" s="39" t="s">
        <v>368</v>
      </c>
      <c r="B5" s="23">
        <v>5167.4399999999996</v>
      </c>
      <c r="C5" s="56">
        <f t="shared" si="0"/>
        <v>157.28000000000065</v>
      </c>
      <c r="D5" s="23">
        <v>7984.19</v>
      </c>
      <c r="E5" s="23">
        <v>539.98</v>
      </c>
      <c r="F5" s="23">
        <v>0.93899999999999995</v>
      </c>
      <c r="G5" s="23">
        <v>0</v>
      </c>
      <c r="H5" s="23">
        <v>40</v>
      </c>
      <c r="I5" s="5">
        <f t="shared" si="1"/>
        <v>0</v>
      </c>
      <c r="J5" s="6">
        <f t="shared" si="2"/>
        <v>1078.4000000000015</v>
      </c>
      <c r="K5" s="23">
        <v>231043.18</v>
      </c>
      <c r="L5" s="23">
        <v>0.996</v>
      </c>
      <c r="M5" s="7">
        <f t="shared" si="3"/>
        <v>135.10000000000582</v>
      </c>
      <c r="N5" s="23">
        <v>113</v>
      </c>
      <c r="O5" s="8">
        <f t="shared" si="4"/>
        <v>0</v>
      </c>
      <c r="P5" s="23">
        <v>755.3</v>
      </c>
      <c r="Q5" s="23">
        <v>0</v>
      </c>
      <c r="R5" s="23">
        <v>13321.5</v>
      </c>
      <c r="S5" s="23">
        <v>0.88300000000000001</v>
      </c>
      <c r="T5" s="25">
        <f t="shared" si="5"/>
        <v>76.399999999999636</v>
      </c>
      <c r="U5" s="26">
        <f t="shared" si="6"/>
        <v>1289.9000000000069</v>
      </c>
      <c r="V5" s="35">
        <v>13.74</v>
      </c>
      <c r="W5" s="35">
        <v>14.65</v>
      </c>
      <c r="X5" s="35">
        <v>14.25</v>
      </c>
      <c r="Y5" s="11">
        <f t="shared" si="7"/>
        <v>42.64</v>
      </c>
      <c r="Z5" s="23">
        <v>7968.25</v>
      </c>
      <c r="AA5" s="8">
        <f t="shared" si="8"/>
        <v>0</v>
      </c>
      <c r="AB5" s="23">
        <v>3638.54</v>
      </c>
      <c r="AC5" s="23">
        <v>0</v>
      </c>
      <c r="AD5" s="23">
        <v>22520</v>
      </c>
      <c r="AE5" s="8">
        <f t="shared" si="9"/>
        <v>160</v>
      </c>
      <c r="AF5" s="23">
        <v>1636.6</v>
      </c>
      <c r="AG5" s="23">
        <v>0</v>
      </c>
      <c r="AH5" s="36">
        <f t="shared" si="10"/>
        <v>42.64</v>
      </c>
      <c r="AI5" s="21">
        <f t="shared" si="11"/>
        <v>0</v>
      </c>
      <c r="AJ5" s="22">
        <f t="shared" si="12"/>
        <v>42.64</v>
      </c>
      <c r="AK5" s="27">
        <f t="shared" si="13"/>
        <v>1449.9000000000069</v>
      </c>
      <c r="AL5" s="40">
        <f t="shared" si="14"/>
        <v>1492.540000000007</v>
      </c>
    </row>
    <row r="6" spans="1:38" ht="25.5" customHeight="1">
      <c r="A6" s="39" t="s">
        <v>369</v>
      </c>
      <c r="B6" s="23">
        <v>5324.72</v>
      </c>
      <c r="C6" s="56">
        <f t="shared" si="0"/>
        <v>30.229999999999563</v>
      </c>
      <c r="D6" s="23">
        <v>8011.15</v>
      </c>
      <c r="E6" s="23">
        <v>539.98</v>
      </c>
      <c r="F6" s="23">
        <v>0.93500000000000005</v>
      </c>
      <c r="G6" s="23">
        <v>0.22900000000000001</v>
      </c>
      <c r="H6" s="23">
        <v>40</v>
      </c>
      <c r="I6" s="5">
        <f t="shared" si="1"/>
        <v>0</v>
      </c>
      <c r="J6" s="6">
        <f t="shared" si="2"/>
        <v>395.20000000000437</v>
      </c>
      <c r="K6" s="23">
        <v>231178.28</v>
      </c>
      <c r="L6" s="23">
        <v>0.996</v>
      </c>
      <c r="M6" s="7">
        <f t="shared" si="3"/>
        <v>134.98999999999069</v>
      </c>
      <c r="N6" s="23">
        <v>113</v>
      </c>
      <c r="O6" s="8">
        <f t="shared" si="4"/>
        <v>0</v>
      </c>
      <c r="P6" s="23">
        <v>755.3</v>
      </c>
      <c r="Q6" s="23">
        <v>0</v>
      </c>
      <c r="R6" s="23">
        <v>13397.9</v>
      </c>
      <c r="S6" s="23">
        <v>0.88300000000000001</v>
      </c>
      <c r="T6" s="25">
        <f t="shared" si="5"/>
        <v>90.300000000001091</v>
      </c>
      <c r="U6" s="26">
        <f t="shared" si="6"/>
        <v>620.48999999999614</v>
      </c>
      <c r="V6" s="35">
        <v>15.37</v>
      </c>
      <c r="W6" s="35">
        <v>33.85</v>
      </c>
      <c r="X6" s="35">
        <v>15.85</v>
      </c>
      <c r="Y6" s="11">
        <f t="shared" si="7"/>
        <v>65.069999999999993</v>
      </c>
      <c r="Z6" s="23">
        <v>7968.25</v>
      </c>
      <c r="AA6" s="8">
        <f t="shared" si="8"/>
        <v>0</v>
      </c>
      <c r="AB6" s="23">
        <v>3638.54</v>
      </c>
      <c r="AC6" s="23">
        <v>0</v>
      </c>
      <c r="AD6" s="23">
        <v>22680</v>
      </c>
      <c r="AE6" s="8">
        <f t="shared" si="9"/>
        <v>0</v>
      </c>
      <c r="AF6" s="23">
        <v>1647</v>
      </c>
      <c r="AG6" s="23">
        <v>0</v>
      </c>
      <c r="AH6" s="36">
        <f t="shared" si="10"/>
        <v>65.069999999999993</v>
      </c>
      <c r="AI6" s="21">
        <f t="shared" si="11"/>
        <v>0</v>
      </c>
      <c r="AJ6" s="22">
        <f t="shared" si="12"/>
        <v>65.069999999999993</v>
      </c>
      <c r="AK6" s="27">
        <f t="shared" si="13"/>
        <v>620.48999999999614</v>
      </c>
      <c r="AL6" s="40">
        <f t="shared" si="14"/>
        <v>685.55999999999608</v>
      </c>
    </row>
    <row r="7" spans="1:38" ht="25.5" customHeight="1">
      <c r="A7" s="39" t="s">
        <v>370</v>
      </c>
      <c r="B7" s="35">
        <v>5354.95</v>
      </c>
      <c r="C7" s="56">
        <f t="shared" si="0"/>
        <v>55.470000000000255</v>
      </c>
      <c r="D7" s="23">
        <v>8021.03</v>
      </c>
      <c r="E7" s="23">
        <v>539.98</v>
      </c>
      <c r="F7" s="23">
        <v>0.92700000000000005</v>
      </c>
      <c r="G7" s="23">
        <v>0.22</v>
      </c>
      <c r="H7" s="23">
        <v>40</v>
      </c>
      <c r="I7" s="5">
        <f t="shared" si="1"/>
        <v>0</v>
      </c>
      <c r="J7" s="6">
        <f t="shared" si="2"/>
        <v>622.40000000001601</v>
      </c>
      <c r="K7" s="23">
        <v>231313.27</v>
      </c>
      <c r="L7" s="23">
        <v>0.999</v>
      </c>
      <c r="M7" s="7">
        <f t="shared" si="3"/>
        <v>163.76000000000931</v>
      </c>
      <c r="N7" s="23">
        <v>113</v>
      </c>
      <c r="O7" s="8">
        <f t="shared" si="4"/>
        <v>0</v>
      </c>
      <c r="P7" s="23">
        <v>755.3</v>
      </c>
      <c r="Q7" s="23">
        <v>0</v>
      </c>
      <c r="R7" s="23">
        <v>13488.2</v>
      </c>
      <c r="S7" s="23">
        <v>0.88300000000000001</v>
      </c>
      <c r="T7" s="25">
        <f t="shared" si="5"/>
        <v>0</v>
      </c>
      <c r="U7" s="26">
        <f t="shared" si="6"/>
        <v>786.16000000002532</v>
      </c>
      <c r="V7" s="35">
        <v>15.45</v>
      </c>
      <c r="W7" s="35">
        <v>13.35</v>
      </c>
      <c r="X7" s="35">
        <v>12.24</v>
      </c>
      <c r="Y7" s="11">
        <f t="shared" si="7"/>
        <v>41.04</v>
      </c>
      <c r="Z7" s="23">
        <v>7968.25</v>
      </c>
      <c r="AA7" s="8">
        <f t="shared" si="8"/>
        <v>0</v>
      </c>
      <c r="AB7" s="23">
        <v>3638.54</v>
      </c>
      <c r="AC7" s="23">
        <v>0</v>
      </c>
      <c r="AD7" s="23">
        <v>22680</v>
      </c>
      <c r="AE7" s="8">
        <f t="shared" si="9"/>
        <v>0</v>
      </c>
      <c r="AF7" s="23">
        <v>1647</v>
      </c>
      <c r="AG7" s="23">
        <v>0</v>
      </c>
      <c r="AH7" s="36">
        <f t="shared" si="10"/>
        <v>41.04</v>
      </c>
      <c r="AI7" s="21">
        <f t="shared" si="11"/>
        <v>0</v>
      </c>
      <c r="AJ7" s="22">
        <f t="shared" si="12"/>
        <v>41.04</v>
      </c>
      <c r="AK7" s="27">
        <f t="shared" si="13"/>
        <v>786.16000000002532</v>
      </c>
      <c r="AL7" s="40">
        <f t="shared" si="14"/>
        <v>827.20000000002528</v>
      </c>
    </row>
    <row r="8" spans="1:38" ht="25.5" customHeight="1">
      <c r="A8" s="39" t="s">
        <v>371</v>
      </c>
      <c r="B8" s="35">
        <v>5410.42</v>
      </c>
      <c r="C8" s="56">
        <f t="shared" si="0"/>
        <v>99.269999999999527</v>
      </c>
      <c r="D8" s="23">
        <v>8036.59</v>
      </c>
      <c r="E8" s="23">
        <v>539.98</v>
      </c>
      <c r="F8" s="23">
        <v>0.92800000000000005</v>
      </c>
      <c r="G8" s="23">
        <v>0.219</v>
      </c>
      <c r="H8" s="23">
        <v>40</v>
      </c>
      <c r="I8" s="5">
        <f t="shared" si="1"/>
        <v>0</v>
      </c>
      <c r="J8" s="6">
        <f t="shared" si="2"/>
        <v>800</v>
      </c>
      <c r="K8" s="23">
        <v>231477.03</v>
      </c>
      <c r="L8" s="23">
        <v>0.999</v>
      </c>
      <c r="M8" s="7">
        <f t="shared" si="3"/>
        <v>149.51999999998952</v>
      </c>
      <c r="N8" s="23">
        <v>113</v>
      </c>
      <c r="O8" s="8">
        <f t="shared" si="4"/>
        <v>0</v>
      </c>
      <c r="P8" s="23">
        <v>755.3</v>
      </c>
      <c r="Q8" s="23">
        <v>0</v>
      </c>
      <c r="R8" s="23">
        <v>13488.2</v>
      </c>
      <c r="S8" s="23">
        <v>0.88300000000000001</v>
      </c>
      <c r="T8" s="25">
        <f t="shared" si="5"/>
        <v>80.399999999999636</v>
      </c>
      <c r="U8" s="26">
        <f t="shared" si="6"/>
        <v>1029.9199999999892</v>
      </c>
      <c r="V8" s="35">
        <v>11.2</v>
      </c>
      <c r="W8" s="35">
        <v>17.36</v>
      </c>
      <c r="X8" s="35">
        <v>13.99</v>
      </c>
      <c r="Y8" s="11">
        <f t="shared" si="7"/>
        <v>42.55</v>
      </c>
      <c r="Z8" s="23">
        <v>7968.25</v>
      </c>
      <c r="AA8" s="8">
        <f t="shared" si="8"/>
        <v>0</v>
      </c>
      <c r="AB8" s="23">
        <v>3638.54</v>
      </c>
      <c r="AC8" s="23">
        <v>0</v>
      </c>
      <c r="AD8" s="57">
        <v>22680</v>
      </c>
      <c r="AE8" s="8">
        <f t="shared" si="9"/>
        <v>0</v>
      </c>
      <c r="AF8" s="23">
        <v>1647</v>
      </c>
      <c r="AG8" s="23">
        <v>0</v>
      </c>
      <c r="AH8" s="36">
        <f t="shared" si="10"/>
        <v>42.55</v>
      </c>
      <c r="AI8" s="21">
        <f t="shared" si="11"/>
        <v>0</v>
      </c>
      <c r="AJ8" s="22">
        <f t="shared" si="12"/>
        <v>42.55</v>
      </c>
      <c r="AK8" s="27">
        <f t="shared" si="13"/>
        <v>1029.9199999999892</v>
      </c>
      <c r="AL8" s="40">
        <f t="shared" si="14"/>
        <v>1072.4699999999891</v>
      </c>
    </row>
    <row r="9" spans="1:38" ht="25.5" customHeight="1">
      <c r="A9" s="39" t="s">
        <v>372</v>
      </c>
      <c r="B9" s="35">
        <v>5509.69</v>
      </c>
      <c r="C9" s="56">
        <f t="shared" si="0"/>
        <v>95.830000000000837</v>
      </c>
      <c r="D9" s="72">
        <v>8056.59</v>
      </c>
      <c r="E9" s="23">
        <v>539.98</v>
      </c>
      <c r="F9" s="23">
        <v>0.92900000000000005</v>
      </c>
      <c r="G9" s="23">
        <v>0.219</v>
      </c>
      <c r="H9" s="23">
        <v>40</v>
      </c>
      <c r="I9" s="5">
        <f t="shared" si="1"/>
        <v>0</v>
      </c>
      <c r="J9" s="6">
        <f t="shared" si="2"/>
        <v>832.00000000000728</v>
      </c>
      <c r="K9" s="23">
        <v>231626.55</v>
      </c>
      <c r="L9" s="23">
        <v>0.999</v>
      </c>
      <c r="M9" s="7">
        <f t="shared" si="3"/>
        <v>104.60000000000582</v>
      </c>
      <c r="N9" s="23">
        <v>113</v>
      </c>
      <c r="O9" s="8">
        <f t="shared" si="4"/>
        <v>0</v>
      </c>
      <c r="P9" s="23">
        <v>755.3</v>
      </c>
      <c r="Q9" s="23">
        <v>0</v>
      </c>
      <c r="R9" s="23">
        <v>13568.6</v>
      </c>
      <c r="S9" s="23">
        <v>0.88300000000000001</v>
      </c>
      <c r="T9" s="25">
        <f t="shared" si="5"/>
        <v>95</v>
      </c>
      <c r="U9" s="26">
        <f t="shared" si="6"/>
        <v>1031.6000000000131</v>
      </c>
      <c r="V9" s="35">
        <v>12.14</v>
      </c>
      <c r="W9" s="35">
        <v>11.34</v>
      </c>
      <c r="X9" s="35">
        <v>13.43</v>
      </c>
      <c r="Y9" s="11">
        <f t="shared" si="7"/>
        <v>36.909999999999997</v>
      </c>
      <c r="Z9" s="23">
        <v>7968.25</v>
      </c>
      <c r="AA9" s="8">
        <f t="shared" si="8"/>
        <v>13.819999999999709</v>
      </c>
      <c r="AB9" s="23">
        <v>3641.4</v>
      </c>
      <c r="AC9" s="23">
        <v>0</v>
      </c>
      <c r="AD9" s="23">
        <v>22680</v>
      </c>
      <c r="AE9" s="8">
        <f t="shared" si="9"/>
        <v>0</v>
      </c>
      <c r="AF9" s="23">
        <v>1647</v>
      </c>
      <c r="AG9" s="23">
        <v>0</v>
      </c>
      <c r="AH9" s="36">
        <f t="shared" si="10"/>
        <v>36.909999999999997</v>
      </c>
      <c r="AI9" s="21">
        <f t="shared" si="11"/>
        <v>0</v>
      </c>
      <c r="AJ9" s="22">
        <f t="shared" si="12"/>
        <v>36.909999999999997</v>
      </c>
      <c r="AK9" s="27">
        <f t="shared" si="13"/>
        <v>1045.4200000000128</v>
      </c>
      <c r="AL9" s="40">
        <f t="shared" si="14"/>
        <v>1082.3300000000129</v>
      </c>
    </row>
    <row r="10" spans="1:38" ht="25.5" customHeight="1">
      <c r="A10" s="39" t="s">
        <v>373</v>
      </c>
      <c r="B10" s="35">
        <v>5605.52</v>
      </c>
      <c r="C10" s="56">
        <f t="shared" si="0"/>
        <v>132.07999999999993</v>
      </c>
      <c r="D10" s="23">
        <v>8077.39</v>
      </c>
      <c r="E10" s="23">
        <v>539.98</v>
      </c>
      <c r="F10" s="23">
        <v>0.92800000000000005</v>
      </c>
      <c r="G10" s="23">
        <v>0.193</v>
      </c>
      <c r="H10" s="23">
        <v>40</v>
      </c>
      <c r="I10" s="5">
        <f t="shared" si="1"/>
        <v>0</v>
      </c>
      <c r="J10" s="6">
        <f t="shared" si="2"/>
        <v>323.19999999999709</v>
      </c>
      <c r="K10" s="23">
        <v>231731.15</v>
      </c>
      <c r="L10" s="23">
        <v>0.999</v>
      </c>
      <c r="M10" s="7">
        <f t="shared" si="3"/>
        <v>48.300000000017462</v>
      </c>
      <c r="N10" s="23">
        <v>113</v>
      </c>
      <c r="O10" s="8">
        <f t="shared" si="4"/>
        <v>0</v>
      </c>
      <c r="P10" s="23">
        <v>755.3</v>
      </c>
      <c r="Q10" s="23">
        <v>0</v>
      </c>
      <c r="R10" s="23">
        <v>13663.6</v>
      </c>
      <c r="S10" s="23">
        <v>0.88300000000000001</v>
      </c>
      <c r="T10" s="25">
        <f t="shared" si="5"/>
        <v>62.5</v>
      </c>
      <c r="U10" s="26">
        <f t="shared" si="6"/>
        <v>434.00000000001455</v>
      </c>
      <c r="V10" s="35">
        <v>12.85</v>
      </c>
      <c r="W10" s="35">
        <v>13.14</v>
      </c>
      <c r="X10" s="35">
        <v>11.24</v>
      </c>
      <c r="Y10" s="11">
        <f t="shared" si="7"/>
        <v>37.230000000000004</v>
      </c>
      <c r="Z10" s="23">
        <v>7982.07</v>
      </c>
      <c r="AA10" s="8">
        <f t="shared" si="8"/>
        <v>0.8000000000001819</v>
      </c>
      <c r="AB10" s="23">
        <v>3641.5</v>
      </c>
      <c r="AC10" s="23">
        <v>0</v>
      </c>
      <c r="AD10" s="23">
        <v>22680</v>
      </c>
      <c r="AE10" s="8">
        <f t="shared" si="9"/>
        <v>0</v>
      </c>
      <c r="AF10" s="23">
        <v>1647</v>
      </c>
      <c r="AG10" s="23">
        <v>0</v>
      </c>
      <c r="AH10" s="36">
        <f t="shared" si="10"/>
        <v>37.230000000000004</v>
      </c>
      <c r="AI10" s="21">
        <f t="shared" si="11"/>
        <v>0</v>
      </c>
      <c r="AJ10" s="22">
        <f t="shared" si="12"/>
        <v>37.230000000000004</v>
      </c>
      <c r="AK10" s="27">
        <f t="shared" si="13"/>
        <v>434.80000000001473</v>
      </c>
      <c r="AL10" s="40">
        <f t="shared" si="14"/>
        <v>472.03000000001475</v>
      </c>
    </row>
    <row r="11" spans="1:38" ht="25.5" customHeight="1">
      <c r="A11" s="39" t="s">
        <v>374</v>
      </c>
      <c r="B11" s="73">
        <v>5737.6</v>
      </c>
      <c r="C11" s="56">
        <f t="shared" si="0"/>
        <v>24.920000000000073</v>
      </c>
      <c r="D11" s="23">
        <v>8085.47</v>
      </c>
      <c r="E11" s="23">
        <v>539.98</v>
      </c>
      <c r="F11" s="23">
        <v>0.92700000000000005</v>
      </c>
      <c r="G11" s="23">
        <v>0.182</v>
      </c>
      <c r="H11" s="23">
        <v>40</v>
      </c>
      <c r="I11" s="5">
        <f t="shared" si="1"/>
        <v>0</v>
      </c>
      <c r="J11" s="6">
        <f t="shared" si="2"/>
        <v>989.19999999998254</v>
      </c>
      <c r="K11" s="72">
        <v>231779.45</v>
      </c>
      <c r="L11" s="23">
        <v>0.999</v>
      </c>
      <c r="M11" s="7">
        <f t="shared" si="3"/>
        <v>48.299999999988358</v>
      </c>
      <c r="N11" s="23">
        <v>113</v>
      </c>
      <c r="O11" s="8">
        <f t="shared" si="4"/>
        <v>0</v>
      </c>
      <c r="P11" s="23">
        <v>755.3</v>
      </c>
      <c r="Q11" s="23">
        <v>0</v>
      </c>
      <c r="R11" s="23">
        <v>13726.1</v>
      </c>
      <c r="S11" s="23">
        <v>0.88300000000000001</v>
      </c>
      <c r="T11" s="25">
        <f t="shared" si="5"/>
        <v>62.5</v>
      </c>
      <c r="U11" s="26">
        <f t="shared" si="6"/>
        <v>1099.9999999999709</v>
      </c>
      <c r="V11" s="35">
        <v>13.02</v>
      </c>
      <c r="W11" s="35">
        <v>14.5</v>
      </c>
      <c r="X11" s="35">
        <v>12.99</v>
      </c>
      <c r="Y11" s="11">
        <f t="shared" si="7"/>
        <v>40.51</v>
      </c>
      <c r="Z11" s="23">
        <v>7982.87</v>
      </c>
      <c r="AA11" s="8">
        <f t="shared" si="8"/>
        <v>0</v>
      </c>
      <c r="AB11" s="23">
        <v>3641.5</v>
      </c>
      <c r="AC11" s="23">
        <v>0</v>
      </c>
      <c r="AD11" s="23">
        <v>22680</v>
      </c>
      <c r="AE11" s="8">
        <f t="shared" si="9"/>
        <v>0</v>
      </c>
      <c r="AF11" s="23">
        <v>1647</v>
      </c>
      <c r="AG11" s="23">
        <v>0</v>
      </c>
      <c r="AH11" s="36">
        <f t="shared" si="10"/>
        <v>40.51</v>
      </c>
      <c r="AI11" s="21">
        <f t="shared" si="11"/>
        <v>0</v>
      </c>
      <c r="AJ11" s="22">
        <f t="shared" si="12"/>
        <v>40.51</v>
      </c>
      <c r="AK11" s="27">
        <f t="shared" si="13"/>
        <v>1099.9999999999709</v>
      </c>
      <c r="AL11" s="40">
        <f t="shared" si="14"/>
        <v>1140.5099999999709</v>
      </c>
    </row>
    <row r="12" spans="1:38" ht="25.5" customHeight="1">
      <c r="A12" s="39" t="s">
        <v>375</v>
      </c>
      <c r="B12" s="35">
        <v>5762.52</v>
      </c>
      <c r="C12" s="56">
        <f t="shared" si="0"/>
        <v>0</v>
      </c>
      <c r="D12" s="23">
        <v>8110.2</v>
      </c>
      <c r="E12" s="23">
        <v>539.98</v>
      </c>
      <c r="F12" s="23">
        <v>0.92500000000000004</v>
      </c>
      <c r="G12" s="23">
        <v>0.158</v>
      </c>
      <c r="H12" s="23">
        <v>40</v>
      </c>
      <c r="I12" s="5">
        <f t="shared" si="1"/>
        <v>0</v>
      </c>
      <c r="J12" s="6">
        <f t="shared" si="2"/>
        <v>760</v>
      </c>
      <c r="K12" s="72">
        <v>231827.75</v>
      </c>
      <c r="L12" s="23">
        <v>0.999</v>
      </c>
      <c r="M12" s="7">
        <f t="shared" si="3"/>
        <v>48.299999999988358</v>
      </c>
      <c r="N12" s="23">
        <v>113</v>
      </c>
      <c r="O12" s="8">
        <f t="shared" si="4"/>
        <v>0</v>
      </c>
      <c r="P12" s="23">
        <v>755.3</v>
      </c>
      <c r="Q12" s="23">
        <v>0</v>
      </c>
      <c r="R12" s="23">
        <v>13788.6</v>
      </c>
      <c r="S12" s="23">
        <v>0.88300000000000001</v>
      </c>
      <c r="T12" s="25">
        <f t="shared" si="5"/>
        <v>62.5</v>
      </c>
      <c r="U12" s="26">
        <f t="shared" si="6"/>
        <v>870.79999999998836</v>
      </c>
      <c r="V12" s="35">
        <v>16.059999999999999</v>
      </c>
      <c r="W12" s="35">
        <v>18.38</v>
      </c>
      <c r="X12" s="35">
        <v>11.24</v>
      </c>
      <c r="Y12" s="11">
        <f t="shared" si="7"/>
        <v>45.68</v>
      </c>
      <c r="Z12" s="23">
        <v>7982.87</v>
      </c>
      <c r="AA12" s="8">
        <f t="shared" si="8"/>
        <v>2.1199999999998909</v>
      </c>
      <c r="AB12" s="23">
        <v>3641.5</v>
      </c>
      <c r="AC12" s="23">
        <v>0</v>
      </c>
      <c r="AD12" s="23">
        <v>22680</v>
      </c>
      <c r="AE12" s="8">
        <f t="shared" si="9"/>
        <v>0</v>
      </c>
      <c r="AF12" s="23">
        <v>1647</v>
      </c>
      <c r="AG12" s="23">
        <v>0</v>
      </c>
      <c r="AH12" s="36">
        <f t="shared" si="10"/>
        <v>45.68</v>
      </c>
      <c r="AI12" s="21">
        <f t="shared" si="11"/>
        <v>0</v>
      </c>
      <c r="AJ12" s="22">
        <f t="shared" si="12"/>
        <v>45.68</v>
      </c>
      <c r="AK12" s="27">
        <f t="shared" si="13"/>
        <v>872.91999999998825</v>
      </c>
      <c r="AL12" s="40">
        <f t="shared" si="14"/>
        <v>918.5999999999882</v>
      </c>
    </row>
    <row r="13" spans="1:38" ht="25.5" customHeight="1">
      <c r="A13" s="39" t="s">
        <v>376</v>
      </c>
      <c r="B13" s="35">
        <v>5762.52</v>
      </c>
      <c r="C13" s="56">
        <f t="shared" si="0"/>
        <v>129.1299999999992</v>
      </c>
      <c r="D13" s="23">
        <v>8129.2</v>
      </c>
      <c r="E13" s="23">
        <v>539.98</v>
      </c>
      <c r="F13" s="23">
        <v>0.92500000000000004</v>
      </c>
      <c r="G13" s="23">
        <v>0.158</v>
      </c>
      <c r="H13" s="23">
        <v>40</v>
      </c>
      <c r="I13" s="5">
        <f t="shared" si="1"/>
        <v>17.999999999997272</v>
      </c>
      <c r="J13" s="6">
        <f t="shared" si="2"/>
        <v>175.20000000000437</v>
      </c>
      <c r="K13" s="72">
        <v>231876.05</v>
      </c>
      <c r="L13" s="23">
        <v>0.999</v>
      </c>
      <c r="M13" s="7">
        <f t="shared" si="3"/>
        <v>48.300000000017462</v>
      </c>
      <c r="N13" s="23">
        <v>113</v>
      </c>
      <c r="O13" s="8">
        <f t="shared" si="4"/>
        <v>0</v>
      </c>
      <c r="P13" s="23">
        <v>755.3</v>
      </c>
      <c r="Q13" s="23">
        <v>0</v>
      </c>
      <c r="R13" s="23">
        <v>13851.1</v>
      </c>
      <c r="S13" s="23">
        <v>0.88300000000000001</v>
      </c>
      <c r="T13" s="25">
        <f t="shared" si="5"/>
        <v>62.5</v>
      </c>
      <c r="U13" s="26">
        <f t="shared" si="6"/>
        <v>286.00000000002183</v>
      </c>
      <c r="V13" s="35">
        <v>38.24</v>
      </c>
      <c r="W13" s="35">
        <v>36.15</v>
      </c>
      <c r="X13" s="35">
        <v>33.4</v>
      </c>
      <c r="Y13" s="11">
        <f t="shared" si="7"/>
        <v>107.78999999999999</v>
      </c>
      <c r="Z13" s="23">
        <v>7984.99</v>
      </c>
      <c r="AA13" s="8">
        <f t="shared" si="8"/>
        <v>0</v>
      </c>
      <c r="AB13" s="23">
        <v>3642.06</v>
      </c>
      <c r="AC13" s="23">
        <v>0</v>
      </c>
      <c r="AD13" s="23">
        <v>22680</v>
      </c>
      <c r="AE13" s="8">
        <f t="shared" si="9"/>
        <v>74</v>
      </c>
      <c r="AF13" s="23">
        <v>1647</v>
      </c>
      <c r="AG13" s="23">
        <v>0</v>
      </c>
      <c r="AH13" s="36">
        <f t="shared" si="10"/>
        <v>107.78999999999999</v>
      </c>
      <c r="AI13" s="21">
        <f t="shared" si="11"/>
        <v>17.999999999997272</v>
      </c>
      <c r="AJ13" s="22">
        <f t="shared" si="12"/>
        <v>89.790000000002721</v>
      </c>
      <c r="AK13" s="27">
        <f t="shared" si="13"/>
        <v>360.00000000002183</v>
      </c>
      <c r="AL13" s="40">
        <f t="shared" si="14"/>
        <v>449.79000000002452</v>
      </c>
    </row>
    <row r="14" spans="1:38" ht="25.5" customHeight="1">
      <c r="A14" s="39" t="s">
        <v>377</v>
      </c>
      <c r="B14" s="23">
        <v>5891.65</v>
      </c>
      <c r="C14" s="56">
        <f t="shared" si="0"/>
        <v>50.590000000000146</v>
      </c>
      <c r="D14" s="23">
        <v>8133.58</v>
      </c>
      <c r="E14" s="23">
        <v>540.42999999999995</v>
      </c>
      <c r="F14" s="72">
        <v>0.91900000000000004</v>
      </c>
      <c r="G14" s="23">
        <v>0.47699999999999998</v>
      </c>
      <c r="H14" s="23">
        <v>40</v>
      </c>
      <c r="I14" s="5">
        <f t="shared" si="1"/>
        <v>0</v>
      </c>
      <c r="J14" s="6">
        <f t="shared" si="2"/>
        <v>454.3999999999869</v>
      </c>
      <c r="K14" s="72">
        <v>231924.35</v>
      </c>
      <c r="L14" s="23">
        <v>0.999</v>
      </c>
      <c r="M14" s="7">
        <f t="shared" si="3"/>
        <v>48.669999999983702</v>
      </c>
      <c r="N14" s="23">
        <v>113</v>
      </c>
      <c r="O14" s="8">
        <f t="shared" si="4"/>
        <v>0</v>
      </c>
      <c r="P14" s="23">
        <v>755.3</v>
      </c>
      <c r="Q14" s="23">
        <v>0</v>
      </c>
      <c r="R14" s="23">
        <v>13913.6</v>
      </c>
      <c r="S14" s="23">
        <v>0.88300000000000001</v>
      </c>
      <c r="T14" s="25">
        <f t="shared" si="5"/>
        <v>62.5</v>
      </c>
      <c r="U14" s="26">
        <f t="shared" si="6"/>
        <v>565.56999999997061</v>
      </c>
      <c r="V14" s="35">
        <v>53.94</v>
      </c>
      <c r="W14" s="35">
        <v>48.14</v>
      </c>
      <c r="X14" s="35">
        <v>44.37</v>
      </c>
      <c r="Y14" s="11">
        <f t="shared" si="7"/>
        <v>146.44999999999999</v>
      </c>
      <c r="Z14" s="23">
        <v>7984.99</v>
      </c>
      <c r="AA14" s="8">
        <f t="shared" si="8"/>
        <v>0</v>
      </c>
      <c r="AB14" s="23">
        <v>3642.06</v>
      </c>
      <c r="AC14" s="23">
        <v>0</v>
      </c>
      <c r="AD14" s="23">
        <v>22754</v>
      </c>
      <c r="AE14" s="8">
        <f t="shared" si="9"/>
        <v>0</v>
      </c>
      <c r="AF14" s="23">
        <v>1655.8</v>
      </c>
      <c r="AG14" s="23">
        <v>0</v>
      </c>
      <c r="AH14" s="36">
        <f t="shared" si="10"/>
        <v>146.44999999999999</v>
      </c>
      <c r="AI14" s="21">
        <f t="shared" si="11"/>
        <v>0</v>
      </c>
      <c r="AJ14" s="22">
        <f t="shared" si="12"/>
        <v>146.44999999999999</v>
      </c>
      <c r="AK14" s="27">
        <f t="shared" si="13"/>
        <v>565.56999999997061</v>
      </c>
      <c r="AL14" s="40">
        <f t="shared" si="14"/>
        <v>712.01999999997065</v>
      </c>
    </row>
    <row r="15" spans="1:38" ht="25.5" customHeight="1">
      <c r="A15" s="39" t="s">
        <v>378</v>
      </c>
      <c r="B15" s="23">
        <v>5942.24</v>
      </c>
      <c r="C15" s="56">
        <f t="shared" si="0"/>
        <v>102.65000000000055</v>
      </c>
      <c r="D15" s="23">
        <v>8144.94</v>
      </c>
      <c r="E15" s="23">
        <v>540.42999999999995</v>
      </c>
      <c r="F15" s="23">
        <v>0.91900000000000004</v>
      </c>
      <c r="G15" s="23">
        <v>470</v>
      </c>
      <c r="H15" s="23">
        <v>40</v>
      </c>
      <c r="I15" s="5">
        <f t="shared" si="1"/>
        <v>4.4000000000005457</v>
      </c>
      <c r="J15" s="6">
        <f t="shared" si="2"/>
        <v>690.80000000001746</v>
      </c>
      <c r="K15" s="23">
        <v>231973.02</v>
      </c>
      <c r="L15" s="23">
        <v>0.999</v>
      </c>
      <c r="M15" s="7">
        <f t="shared" si="3"/>
        <v>122.12000000002445</v>
      </c>
      <c r="N15" s="23">
        <v>113</v>
      </c>
      <c r="O15" s="8">
        <f t="shared" si="4"/>
        <v>0</v>
      </c>
      <c r="P15" s="23">
        <v>755.3</v>
      </c>
      <c r="Q15" s="23">
        <v>0</v>
      </c>
      <c r="R15" s="23">
        <v>13976.1</v>
      </c>
      <c r="S15" s="23">
        <v>0.88300000000000001</v>
      </c>
      <c r="T15" s="25">
        <f t="shared" si="5"/>
        <v>62.5</v>
      </c>
      <c r="U15" s="26">
        <f t="shared" si="6"/>
        <v>875.42000000004191</v>
      </c>
      <c r="V15" s="35">
        <v>48.2</v>
      </c>
      <c r="W15" s="35">
        <v>43.32</v>
      </c>
      <c r="X15" s="35">
        <v>41.04</v>
      </c>
      <c r="Y15" s="11">
        <f t="shared" si="7"/>
        <v>132.56</v>
      </c>
      <c r="Z15" s="23">
        <v>7984.99</v>
      </c>
      <c r="AA15" s="8">
        <f t="shared" si="8"/>
        <v>0</v>
      </c>
      <c r="AB15" s="23">
        <v>3642.06</v>
      </c>
      <c r="AC15" s="23">
        <v>0</v>
      </c>
      <c r="AD15" s="23">
        <v>22754</v>
      </c>
      <c r="AE15" s="8">
        <f t="shared" si="9"/>
        <v>2</v>
      </c>
      <c r="AF15" s="23">
        <v>1655.8</v>
      </c>
      <c r="AG15" s="23">
        <v>0</v>
      </c>
      <c r="AH15" s="36">
        <f t="shared" si="10"/>
        <v>132.56</v>
      </c>
      <c r="AI15" s="21">
        <f t="shared" si="11"/>
        <v>4.4000000000005457</v>
      </c>
      <c r="AJ15" s="22">
        <f t="shared" si="12"/>
        <v>128.15999999999946</v>
      </c>
      <c r="AK15" s="27">
        <f t="shared" si="13"/>
        <v>877.42000000004191</v>
      </c>
      <c r="AL15" s="40">
        <f t="shared" si="14"/>
        <v>1005.5800000000413</v>
      </c>
    </row>
    <row r="16" spans="1:38" ht="25.5" customHeight="1">
      <c r="A16" s="39" t="s">
        <v>379</v>
      </c>
      <c r="B16" s="23">
        <v>6044.89</v>
      </c>
      <c r="C16" s="56">
        <f t="shared" si="0"/>
        <v>88.319999999999709</v>
      </c>
      <c r="D16" s="23">
        <v>8162.21</v>
      </c>
      <c r="E16" s="23">
        <v>540.54</v>
      </c>
      <c r="F16" s="23">
        <v>0.91800000000000004</v>
      </c>
      <c r="G16" s="23">
        <v>0.46400000000000002</v>
      </c>
      <c r="H16" s="23">
        <v>40</v>
      </c>
      <c r="I16" s="5">
        <f t="shared" si="1"/>
        <v>1.6000000000030923</v>
      </c>
      <c r="J16" s="6">
        <f t="shared" si="2"/>
        <v>571.59999999999854</v>
      </c>
      <c r="K16" s="23">
        <v>232095.14</v>
      </c>
      <c r="L16" s="23">
        <v>0.999</v>
      </c>
      <c r="M16" s="7">
        <f t="shared" si="3"/>
        <v>124.96999999997206</v>
      </c>
      <c r="N16" s="23">
        <v>113</v>
      </c>
      <c r="O16" s="8">
        <f t="shared" si="4"/>
        <v>0</v>
      </c>
      <c r="P16" s="23">
        <v>755.3</v>
      </c>
      <c r="Q16" s="23">
        <v>0</v>
      </c>
      <c r="R16" s="23">
        <v>14038.6</v>
      </c>
      <c r="S16" s="23">
        <v>0.88300000000000001</v>
      </c>
      <c r="T16" s="25">
        <f t="shared" si="5"/>
        <v>62.5</v>
      </c>
      <c r="U16" s="26">
        <f t="shared" si="6"/>
        <v>759.06999999997061</v>
      </c>
      <c r="V16" s="35">
        <v>54.37</v>
      </c>
      <c r="W16" s="35">
        <v>56.55</v>
      </c>
      <c r="X16" s="35">
        <v>69.5</v>
      </c>
      <c r="Y16" s="11">
        <f t="shared" si="7"/>
        <v>180.42</v>
      </c>
      <c r="Z16" s="23">
        <v>7984.99</v>
      </c>
      <c r="AA16" s="8">
        <f t="shared" si="8"/>
        <v>0</v>
      </c>
      <c r="AB16" s="23">
        <v>3642.06</v>
      </c>
      <c r="AC16" s="23">
        <v>0</v>
      </c>
      <c r="AD16" s="23">
        <v>22756</v>
      </c>
      <c r="AE16" s="8">
        <f t="shared" si="9"/>
        <v>0</v>
      </c>
      <c r="AF16" s="23">
        <v>1659.1</v>
      </c>
      <c r="AG16" s="23">
        <v>0</v>
      </c>
      <c r="AH16" s="36">
        <f t="shared" si="10"/>
        <v>180.42</v>
      </c>
      <c r="AI16" s="21">
        <f t="shared" si="11"/>
        <v>1.6000000000030923</v>
      </c>
      <c r="AJ16" s="22">
        <f t="shared" si="12"/>
        <v>178.8199999999969</v>
      </c>
      <c r="AK16" s="27">
        <f t="shared" si="13"/>
        <v>759.06999999997061</v>
      </c>
      <c r="AL16" s="40">
        <f t="shared" si="14"/>
        <v>937.88999999996747</v>
      </c>
    </row>
    <row r="17" spans="1:38" ht="25.5" customHeight="1">
      <c r="A17" s="39" t="s">
        <v>380</v>
      </c>
      <c r="B17" s="23">
        <v>6133.21</v>
      </c>
      <c r="C17" s="56">
        <f t="shared" si="0"/>
        <v>101.92000000000007</v>
      </c>
      <c r="D17" s="23">
        <v>8176.5</v>
      </c>
      <c r="E17" s="23">
        <v>540.58000000000004</v>
      </c>
      <c r="F17" s="23">
        <v>0.91700000000000004</v>
      </c>
      <c r="G17" s="23">
        <v>0.45400000000000001</v>
      </c>
      <c r="H17" s="23">
        <v>40</v>
      </c>
      <c r="I17" s="5">
        <f t="shared" si="1"/>
        <v>6.7999999999983629</v>
      </c>
      <c r="J17" s="6">
        <f t="shared" si="2"/>
        <v>814.80000000003201</v>
      </c>
      <c r="K17" s="23">
        <v>232220.11</v>
      </c>
      <c r="L17" s="23">
        <v>0.999</v>
      </c>
      <c r="M17" s="7">
        <f t="shared" si="3"/>
        <v>154.36000000001513</v>
      </c>
      <c r="N17" s="23">
        <v>113</v>
      </c>
      <c r="O17" s="8">
        <f t="shared" si="4"/>
        <v>0</v>
      </c>
      <c r="P17" s="23">
        <v>755.3</v>
      </c>
      <c r="Q17" s="23">
        <v>0</v>
      </c>
      <c r="R17" s="23">
        <v>14101.1</v>
      </c>
      <c r="S17" s="23">
        <v>0.88300000000000001</v>
      </c>
      <c r="T17" s="25">
        <f t="shared" si="5"/>
        <v>62.5</v>
      </c>
      <c r="U17" s="26">
        <f t="shared" si="6"/>
        <v>1031.6600000000471</v>
      </c>
      <c r="V17" s="35">
        <v>55.24</v>
      </c>
      <c r="W17" s="35">
        <v>53.34</v>
      </c>
      <c r="X17" s="35">
        <v>64.430000000000007</v>
      </c>
      <c r="Y17" s="11">
        <f t="shared" si="7"/>
        <v>173.01000000000002</v>
      </c>
      <c r="Z17" s="23">
        <v>7984.99</v>
      </c>
      <c r="AA17" s="8">
        <f t="shared" si="8"/>
        <v>0</v>
      </c>
      <c r="AB17" s="23">
        <v>3642.06</v>
      </c>
      <c r="AC17" s="23">
        <v>0</v>
      </c>
      <c r="AD17" s="23">
        <v>22756</v>
      </c>
      <c r="AE17" s="8">
        <f t="shared" si="9"/>
        <v>0</v>
      </c>
      <c r="AF17" s="23">
        <v>1659.1</v>
      </c>
      <c r="AG17" s="23">
        <v>0</v>
      </c>
      <c r="AH17" s="36">
        <f t="shared" si="10"/>
        <v>173.01000000000002</v>
      </c>
      <c r="AI17" s="21">
        <f t="shared" si="11"/>
        <v>6.7999999999983629</v>
      </c>
      <c r="AJ17" s="22">
        <f t="shared" si="12"/>
        <v>166.21000000000166</v>
      </c>
      <c r="AK17" s="27">
        <f t="shared" si="13"/>
        <v>1031.6600000000471</v>
      </c>
      <c r="AL17" s="40">
        <f t="shared" si="14"/>
        <v>1197.8700000000488</v>
      </c>
    </row>
    <row r="18" spans="1:38" ht="25.5" customHeight="1">
      <c r="A18" s="39" t="s">
        <v>381</v>
      </c>
      <c r="B18" s="23">
        <v>6235.13</v>
      </c>
      <c r="C18" s="56">
        <f t="shared" si="0"/>
        <v>115.9399999999996</v>
      </c>
      <c r="D18" s="23">
        <v>8196.8700000000008</v>
      </c>
      <c r="E18" s="23">
        <v>540.75</v>
      </c>
      <c r="F18" s="23">
        <v>0.91700000000000004</v>
      </c>
      <c r="G18" s="23">
        <v>0.42899999999999999</v>
      </c>
      <c r="H18" s="23">
        <v>40</v>
      </c>
      <c r="I18" s="5">
        <f t="shared" si="1"/>
        <v>0.7999999999992724</v>
      </c>
      <c r="J18" s="6">
        <f t="shared" si="2"/>
        <v>835.99999999998545</v>
      </c>
      <c r="K18" s="23">
        <v>232374.47</v>
      </c>
      <c r="L18" s="23">
        <v>0.999</v>
      </c>
      <c r="M18" s="7">
        <f t="shared" si="3"/>
        <v>152.63999999998487</v>
      </c>
      <c r="N18" s="23">
        <v>113</v>
      </c>
      <c r="O18" s="8">
        <f t="shared" si="4"/>
        <v>0</v>
      </c>
      <c r="P18" s="23">
        <v>755.3</v>
      </c>
      <c r="Q18" s="23">
        <v>0</v>
      </c>
      <c r="R18" s="23">
        <v>14163.6</v>
      </c>
      <c r="S18" s="23">
        <v>0.88300000000000001</v>
      </c>
      <c r="T18" s="25">
        <f t="shared" si="5"/>
        <v>80.5</v>
      </c>
      <c r="U18" s="26">
        <f t="shared" si="6"/>
        <v>1069.1399999999703</v>
      </c>
      <c r="V18" s="35">
        <v>56.72</v>
      </c>
      <c r="W18" s="35">
        <v>54.09</v>
      </c>
      <c r="X18" s="35">
        <v>46.3</v>
      </c>
      <c r="Y18" s="11">
        <f t="shared" si="7"/>
        <v>157.11000000000001</v>
      </c>
      <c r="Z18" s="23">
        <v>7984.99</v>
      </c>
      <c r="AA18" s="8">
        <f t="shared" si="8"/>
        <v>0</v>
      </c>
      <c r="AB18" s="23">
        <v>3642.06</v>
      </c>
      <c r="AC18" s="23">
        <v>0</v>
      </c>
      <c r="AD18" s="23">
        <v>22756</v>
      </c>
      <c r="AE18" s="8">
        <f t="shared" si="9"/>
        <v>2</v>
      </c>
      <c r="AF18" s="23">
        <v>1659.6</v>
      </c>
      <c r="AG18" s="23">
        <v>0</v>
      </c>
      <c r="AH18" s="36">
        <f t="shared" si="10"/>
        <v>157.11000000000001</v>
      </c>
      <c r="AI18" s="21">
        <f t="shared" si="11"/>
        <v>0.7999999999992724</v>
      </c>
      <c r="AJ18" s="22">
        <f t="shared" si="12"/>
        <v>156.31000000000074</v>
      </c>
      <c r="AK18" s="27">
        <f t="shared" si="13"/>
        <v>1071.1399999999703</v>
      </c>
      <c r="AL18" s="40">
        <f t="shared" si="14"/>
        <v>1227.4499999999712</v>
      </c>
    </row>
    <row r="19" spans="1:38" ht="25.5" customHeight="1">
      <c r="A19" s="39" t="s">
        <v>382</v>
      </c>
      <c r="B19" s="23">
        <v>6351.07</v>
      </c>
      <c r="C19" s="56">
        <f t="shared" si="0"/>
        <v>118.82000000000062</v>
      </c>
      <c r="D19" s="23">
        <v>8217.77</v>
      </c>
      <c r="E19" s="23">
        <v>540.77</v>
      </c>
      <c r="F19" s="23">
        <v>0.91800000000000004</v>
      </c>
      <c r="G19" s="23">
        <v>0.42799999999999999</v>
      </c>
      <c r="H19" s="23">
        <v>40</v>
      </c>
      <c r="I19" s="5">
        <f t="shared" si="1"/>
        <v>2.4000000000023647</v>
      </c>
      <c r="J19" s="6">
        <f t="shared" si="2"/>
        <v>762.39999999997963</v>
      </c>
      <c r="K19" s="23">
        <v>232527.11</v>
      </c>
      <c r="L19" s="23">
        <v>0.999</v>
      </c>
      <c r="M19" s="7">
        <f t="shared" si="3"/>
        <v>137.57000000000698</v>
      </c>
      <c r="N19" s="23">
        <v>113</v>
      </c>
      <c r="O19" s="8">
        <f t="shared" si="4"/>
        <v>0</v>
      </c>
      <c r="P19" s="23">
        <v>755.3</v>
      </c>
      <c r="Q19" s="23">
        <v>0</v>
      </c>
      <c r="R19" s="23">
        <v>14244.1</v>
      </c>
      <c r="S19" s="23">
        <v>0.88300000000000001</v>
      </c>
      <c r="T19" s="25">
        <f t="shared" si="5"/>
        <v>109.29999999999927</v>
      </c>
      <c r="U19" s="26">
        <f t="shared" si="6"/>
        <v>1009.2699999999859</v>
      </c>
      <c r="V19" s="35">
        <v>70.849999999999994</v>
      </c>
      <c r="W19" s="35">
        <v>73.87</v>
      </c>
      <c r="X19" s="35">
        <v>71.3</v>
      </c>
      <c r="Y19" s="11">
        <f t="shared" si="7"/>
        <v>216.01999999999998</v>
      </c>
      <c r="Z19" s="23">
        <v>7984.99</v>
      </c>
      <c r="AA19" s="8">
        <f t="shared" si="8"/>
        <v>0</v>
      </c>
      <c r="AB19" s="23">
        <v>3642.06</v>
      </c>
      <c r="AC19" s="23">
        <v>0</v>
      </c>
      <c r="AD19" s="23">
        <v>22758</v>
      </c>
      <c r="AE19" s="8">
        <f t="shared" si="9"/>
        <v>28</v>
      </c>
      <c r="AF19" s="23">
        <v>1660.2</v>
      </c>
      <c r="AG19" s="23">
        <v>0</v>
      </c>
      <c r="AH19" s="36">
        <f t="shared" si="10"/>
        <v>216.01999999999998</v>
      </c>
      <c r="AI19" s="21">
        <f t="shared" si="11"/>
        <v>2.4000000000023647</v>
      </c>
      <c r="AJ19" s="22">
        <f t="shared" si="12"/>
        <v>213.61999999999762</v>
      </c>
      <c r="AK19" s="27">
        <f t="shared" si="13"/>
        <v>1037.2699999999859</v>
      </c>
      <c r="AL19" s="40">
        <f t="shared" si="14"/>
        <v>1250.8899999999835</v>
      </c>
    </row>
    <row r="20" spans="1:38" ht="25.5" customHeight="1">
      <c r="A20" s="39" t="s">
        <v>383</v>
      </c>
      <c r="B20" s="23">
        <v>6469.89</v>
      </c>
      <c r="C20" s="56">
        <f t="shared" si="0"/>
        <v>-6469.89</v>
      </c>
      <c r="D20" s="23">
        <v>8236.83</v>
      </c>
      <c r="E20" s="23">
        <v>540.83000000000004</v>
      </c>
      <c r="F20" s="23">
        <v>0.91800000000000004</v>
      </c>
      <c r="G20" s="23">
        <v>0.41199999999999998</v>
      </c>
      <c r="H20" s="23">
        <v>40</v>
      </c>
      <c r="I20" s="5">
        <f t="shared" si="1"/>
        <v>-21633.200000000001</v>
      </c>
      <c r="J20" s="6">
        <f t="shared" si="2"/>
        <v>-329473.2</v>
      </c>
      <c r="K20" s="23">
        <v>232664.68</v>
      </c>
      <c r="L20" s="23">
        <v>0.999</v>
      </c>
      <c r="M20" s="7">
        <f t="shared" si="3"/>
        <v>-232664.68</v>
      </c>
      <c r="N20" s="23">
        <v>113</v>
      </c>
      <c r="O20" s="8">
        <f t="shared" si="4"/>
        <v>-113</v>
      </c>
      <c r="P20" s="23">
        <v>755.3</v>
      </c>
      <c r="Q20" s="23">
        <v>0</v>
      </c>
      <c r="R20" s="23">
        <v>14353.4</v>
      </c>
      <c r="S20" s="23">
        <v>0.88300000000000001</v>
      </c>
      <c r="T20" s="25">
        <f t="shared" si="5"/>
        <v>-14353.4</v>
      </c>
      <c r="U20" s="26">
        <f t="shared" si="6"/>
        <v>-576604.28</v>
      </c>
      <c r="V20" s="35"/>
      <c r="W20" s="35"/>
      <c r="X20" s="35"/>
      <c r="Y20" s="11">
        <f t="shared" si="7"/>
        <v>0</v>
      </c>
      <c r="Z20" s="23">
        <v>7984.99</v>
      </c>
      <c r="AA20" s="8">
        <f t="shared" si="8"/>
        <v>-7984.99</v>
      </c>
      <c r="AB20" s="23">
        <v>3642.08</v>
      </c>
      <c r="AC20" s="23">
        <v>0</v>
      </c>
      <c r="AD20" s="23">
        <v>22786</v>
      </c>
      <c r="AE20" s="8">
        <f t="shared" si="9"/>
        <v>-22786</v>
      </c>
      <c r="AF20" s="23">
        <v>1662.4</v>
      </c>
      <c r="AG20" s="23">
        <v>0</v>
      </c>
      <c r="AH20" s="36">
        <f t="shared" si="10"/>
        <v>0</v>
      </c>
      <c r="AI20" s="21">
        <f t="shared" si="11"/>
        <v>-21633.200000000001</v>
      </c>
      <c r="AJ20" s="22">
        <f t="shared" si="12"/>
        <v>21633.200000000001</v>
      </c>
      <c r="AK20" s="27">
        <f t="shared" si="13"/>
        <v>-607375.27</v>
      </c>
      <c r="AL20" s="40">
        <f t="shared" si="14"/>
        <v>-585742.07000000007</v>
      </c>
    </row>
    <row r="21" spans="1:38" ht="25.5" customHeight="1">
      <c r="A21" s="39"/>
      <c r="B21" s="23"/>
      <c r="C21" s="56">
        <f t="shared" si="0"/>
        <v>0</v>
      </c>
      <c r="D21" s="23"/>
      <c r="E21" s="23"/>
      <c r="F21" s="23"/>
      <c r="G21" s="23"/>
      <c r="H21" s="23"/>
      <c r="I21" s="5">
        <f t="shared" si="1"/>
        <v>0</v>
      </c>
      <c r="J21" s="6">
        <f t="shared" si="2"/>
        <v>0</v>
      </c>
      <c r="K21" s="23"/>
      <c r="L21" s="23"/>
      <c r="M21" s="7">
        <f t="shared" si="3"/>
        <v>0</v>
      </c>
      <c r="N21" s="23"/>
      <c r="O21" s="8">
        <f t="shared" si="4"/>
        <v>0</v>
      </c>
      <c r="P21" s="23"/>
      <c r="Q21" s="23"/>
      <c r="R21" s="23"/>
      <c r="S21" s="23"/>
      <c r="T21" s="25">
        <f t="shared" si="5"/>
        <v>0</v>
      </c>
      <c r="U21" s="26">
        <f t="shared" si="6"/>
        <v>0</v>
      </c>
      <c r="V21" s="35"/>
      <c r="W21" s="35"/>
      <c r="X21" s="35"/>
      <c r="Y21" s="11">
        <f t="shared" si="7"/>
        <v>0</v>
      </c>
      <c r="Z21" s="23"/>
      <c r="AA21" s="8">
        <f t="shared" si="8"/>
        <v>0</v>
      </c>
      <c r="AB21" s="23"/>
      <c r="AC21" s="23"/>
      <c r="AD21" s="23"/>
      <c r="AE21" s="8">
        <f t="shared" si="9"/>
        <v>0</v>
      </c>
      <c r="AF21" s="23"/>
      <c r="AG21" s="23"/>
      <c r="AH21" s="36">
        <f t="shared" si="10"/>
        <v>0</v>
      </c>
      <c r="AI21" s="21">
        <f t="shared" si="11"/>
        <v>0</v>
      </c>
      <c r="AJ21" s="22">
        <f t="shared" si="12"/>
        <v>0</v>
      </c>
      <c r="AK21" s="27">
        <f t="shared" si="13"/>
        <v>0</v>
      </c>
      <c r="AL21" s="40">
        <f t="shared" si="14"/>
        <v>0</v>
      </c>
    </row>
    <row r="22" spans="1:38" ht="25.5" customHeight="1">
      <c r="A22" s="39"/>
      <c r="B22" s="23"/>
      <c r="C22" s="56">
        <f t="shared" si="0"/>
        <v>0</v>
      </c>
      <c r="D22" s="23"/>
      <c r="E22" s="23"/>
      <c r="F22" s="23"/>
      <c r="G22" s="23"/>
      <c r="H22" s="23"/>
      <c r="I22" s="5">
        <f t="shared" si="1"/>
        <v>0</v>
      </c>
      <c r="J22" s="6">
        <f t="shared" si="2"/>
        <v>0</v>
      </c>
      <c r="K22" s="23"/>
      <c r="L22" s="23"/>
      <c r="M22" s="7">
        <f t="shared" si="3"/>
        <v>0</v>
      </c>
      <c r="N22" s="23"/>
      <c r="O22" s="38">
        <v>0</v>
      </c>
      <c r="P22" s="23"/>
      <c r="Q22" s="23"/>
      <c r="R22" s="23"/>
      <c r="S22" s="23"/>
      <c r="T22" s="25">
        <f t="shared" si="5"/>
        <v>0</v>
      </c>
      <c r="U22" s="26">
        <f t="shared" si="6"/>
        <v>0</v>
      </c>
      <c r="V22" s="35"/>
      <c r="W22" s="35"/>
      <c r="X22" s="35"/>
      <c r="Y22" s="11">
        <f t="shared" si="7"/>
        <v>0</v>
      </c>
      <c r="Z22" s="23"/>
      <c r="AA22" s="8">
        <f t="shared" si="8"/>
        <v>0</v>
      </c>
      <c r="AB22" s="23"/>
      <c r="AC22" s="23"/>
      <c r="AD22" s="23"/>
      <c r="AE22" s="8">
        <f t="shared" si="9"/>
        <v>0</v>
      </c>
      <c r="AF22" s="23"/>
      <c r="AG22" s="23"/>
      <c r="AH22" s="36">
        <f t="shared" si="10"/>
        <v>0</v>
      </c>
      <c r="AI22" s="21">
        <f t="shared" si="11"/>
        <v>0</v>
      </c>
      <c r="AJ22" s="22">
        <f t="shared" si="12"/>
        <v>0</v>
      </c>
      <c r="AK22" s="27">
        <f t="shared" si="13"/>
        <v>0</v>
      </c>
      <c r="AL22" s="40">
        <f t="shared" si="14"/>
        <v>0</v>
      </c>
    </row>
    <row r="23" spans="1:38" ht="25.5" customHeight="1">
      <c r="A23" s="39"/>
      <c r="B23" s="23"/>
      <c r="C23" s="56">
        <f t="shared" si="0"/>
        <v>0</v>
      </c>
      <c r="D23" s="23"/>
      <c r="E23" s="23"/>
      <c r="F23" s="23"/>
      <c r="G23" s="23"/>
      <c r="H23" s="23"/>
      <c r="I23" s="5">
        <f t="shared" si="1"/>
        <v>0</v>
      </c>
      <c r="J23" s="6">
        <f t="shared" si="2"/>
        <v>0</v>
      </c>
      <c r="K23" s="23"/>
      <c r="L23" s="23"/>
      <c r="M23" s="7">
        <f t="shared" si="3"/>
        <v>0</v>
      </c>
      <c r="N23" s="23"/>
      <c r="O23" s="8">
        <f t="shared" ref="O23:O33" si="15">(N24-N23)</f>
        <v>0</v>
      </c>
      <c r="P23" s="23"/>
      <c r="Q23" s="23"/>
      <c r="R23" s="23"/>
      <c r="S23" s="23"/>
      <c r="T23" s="25">
        <f t="shared" si="5"/>
        <v>0</v>
      </c>
      <c r="U23" s="26">
        <f t="shared" si="6"/>
        <v>0</v>
      </c>
      <c r="V23" s="35"/>
      <c r="W23" s="35"/>
      <c r="X23" s="35"/>
      <c r="Y23" s="11">
        <f t="shared" si="7"/>
        <v>0</v>
      </c>
      <c r="Z23" s="23"/>
      <c r="AA23" s="8">
        <f t="shared" si="8"/>
        <v>0</v>
      </c>
      <c r="AB23" s="23"/>
      <c r="AC23" s="23"/>
      <c r="AD23" s="23"/>
      <c r="AE23" s="8">
        <f t="shared" si="9"/>
        <v>0</v>
      </c>
      <c r="AF23" s="23"/>
      <c r="AG23" s="23"/>
      <c r="AH23" s="36">
        <f t="shared" si="10"/>
        <v>0</v>
      </c>
      <c r="AI23" s="21">
        <f t="shared" si="11"/>
        <v>0</v>
      </c>
      <c r="AJ23" s="22">
        <f t="shared" si="12"/>
        <v>0</v>
      </c>
      <c r="AK23" s="27">
        <f t="shared" si="13"/>
        <v>0</v>
      </c>
      <c r="AL23" s="40">
        <f t="shared" si="14"/>
        <v>0</v>
      </c>
    </row>
    <row r="24" spans="1:38" ht="25.5" customHeight="1">
      <c r="A24" s="39"/>
      <c r="B24" s="23"/>
      <c r="C24" s="56">
        <f t="shared" si="0"/>
        <v>0</v>
      </c>
      <c r="D24" s="23"/>
      <c r="E24" s="23"/>
      <c r="F24" s="23"/>
      <c r="G24" s="23"/>
      <c r="H24" s="23"/>
      <c r="I24" s="5">
        <f t="shared" si="1"/>
        <v>0</v>
      </c>
      <c r="J24" s="6">
        <f t="shared" si="2"/>
        <v>0</v>
      </c>
      <c r="K24" s="23"/>
      <c r="L24" s="23"/>
      <c r="M24" s="7">
        <f t="shared" si="3"/>
        <v>0</v>
      </c>
      <c r="N24" s="23"/>
      <c r="O24" s="8">
        <f t="shared" si="15"/>
        <v>0</v>
      </c>
      <c r="P24" s="23"/>
      <c r="Q24" s="23"/>
      <c r="R24" s="23"/>
      <c r="S24" s="23"/>
      <c r="T24" s="25">
        <f t="shared" si="5"/>
        <v>0</v>
      </c>
      <c r="U24" s="26">
        <f t="shared" si="6"/>
        <v>0</v>
      </c>
      <c r="V24" s="35"/>
      <c r="W24" s="35"/>
      <c r="X24" s="35"/>
      <c r="Y24" s="11">
        <f t="shared" si="7"/>
        <v>0</v>
      </c>
      <c r="Z24" s="23"/>
      <c r="AA24" s="8">
        <f t="shared" si="8"/>
        <v>0</v>
      </c>
      <c r="AB24" s="23"/>
      <c r="AC24" s="23"/>
      <c r="AD24" s="23"/>
      <c r="AE24" s="8">
        <f t="shared" si="9"/>
        <v>0</v>
      </c>
      <c r="AF24" s="23"/>
      <c r="AG24" s="23"/>
      <c r="AH24" s="36">
        <f t="shared" si="10"/>
        <v>0</v>
      </c>
      <c r="AI24" s="21">
        <f t="shared" si="11"/>
        <v>0</v>
      </c>
      <c r="AJ24" s="22">
        <f t="shared" si="12"/>
        <v>0</v>
      </c>
      <c r="AK24" s="27">
        <f t="shared" si="13"/>
        <v>0</v>
      </c>
      <c r="AL24" s="40">
        <f t="shared" si="14"/>
        <v>0</v>
      </c>
    </row>
    <row r="25" spans="1:38" ht="25.5" customHeight="1">
      <c r="A25" s="39"/>
      <c r="B25" s="23"/>
      <c r="C25" s="56">
        <f t="shared" si="0"/>
        <v>0</v>
      </c>
      <c r="D25" s="23"/>
      <c r="E25" s="23"/>
      <c r="F25" s="23"/>
      <c r="G25" s="23"/>
      <c r="H25" s="23"/>
      <c r="I25" s="5">
        <f t="shared" si="1"/>
        <v>0</v>
      </c>
      <c r="J25" s="6">
        <f t="shared" si="2"/>
        <v>0</v>
      </c>
      <c r="K25" s="23"/>
      <c r="L25" s="23"/>
      <c r="M25" s="7">
        <f t="shared" si="3"/>
        <v>0</v>
      </c>
      <c r="N25" s="23"/>
      <c r="O25" s="8">
        <f t="shared" si="15"/>
        <v>0</v>
      </c>
      <c r="P25" s="23"/>
      <c r="Q25" s="23"/>
      <c r="R25" s="23"/>
      <c r="S25" s="23"/>
      <c r="T25" s="25">
        <f t="shared" si="5"/>
        <v>0</v>
      </c>
      <c r="U25" s="26">
        <f t="shared" si="6"/>
        <v>0</v>
      </c>
      <c r="V25" s="35"/>
      <c r="W25" s="35"/>
      <c r="X25" s="35"/>
      <c r="Y25" s="11">
        <f t="shared" si="7"/>
        <v>0</v>
      </c>
      <c r="Z25" s="23"/>
      <c r="AA25" s="8">
        <f t="shared" si="8"/>
        <v>0</v>
      </c>
      <c r="AB25" s="23"/>
      <c r="AC25" s="23"/>
      <c r="AD25" s="23"/>
      <c r="AE25" s="8">
        <f t="shared" si="9"/>
        <v>0</v>
      </c>
      <c r="AF25" s="23"/>
      <c r="AG25" s="23"/>
      <c r="AH25" s="36">
        <f t="shared" si="10"/>
        <v>0</v>
      </c>
      <c r="AI25" s="21">
        <f t="shared" si="11"/>
        <v>0</v>
      </c>
      <c r="AJ25" s="22">
        <f t="shared" si="12"/>
        <v>0</v>
      </c>
      <c r="AK25" s="27">
        <f t="shared" si="13"/>
        <v>0</v>
      </c>
      <c r="AL25" s="40">
        <f t="shared" si="14"/>
        <v>0</v>
      </c>
    </row>
    <row r="26" spans="1:38" ht="25.5" customHeight="1">
      <c r="A26" s="39"/>
      <c r="B26" s="23"/>
      <c r="C26" s="56">
        <f t="shared" si="0"/>
        <v>0</v>
      </c>
      <c r="D26" s="23"/>
      <c r="E26" s="23"/>
      <c r="F26" s="23"/>
      <c r="G26" s="23"/>
      <c r="H26" s="23"/>
      <c r="I26" s="5">
        <f t="shared" si="1"/>
        <v>0</v>
      </c>
      <c r="J26" s="6">
        <f t="shared" si="2"/>
        <v>0</v>
      </c>
      <c r="K26" s="23"/>
      <c r="L26" s="23"/>
      <c r="M26" s="7">
        <f t="shared" si="3"/>
        <v>0</v>
      </c>
      <c r="N26" s="23"/>
      <c r="O26" s="8">
        <f t="shared" si="15"/>
        <v>0</v>
      </c>
      <c r="P26" s="23"/>
      <c r="Q26" s="23"/>
      <c r="R26" s="23"/>
      <c r="S26" s="23"/>
      <c r="T26" s="25">
        <f t="shared" si="5"/>
        <v>0</v>
      </c>
      <c r="U26" s="26">
        <f t="shared" si="6"/>
        <v>0</v>
      </c>
      <c r="V26" s="35"/>
      <c r="W26" s="35"/>
      <c r="X26" s="35"/>
      <c r="Y26" s="11">
        <f t="shared" si="7"/>
        <v>0</v>
      </c>
      <c r="Z26" s="23"/>
      <c r="AA26" s="8">
        <f t="shared" si="8"/>
        <v>0</v>
      </c>
      <c r="AB26" s="23"/>
      <c r="AC26" s="23"/>
      <c r="AD26" s="23"/>
      <c r="AE26" s="8">
        <f t="shared" si="9"/>
        <v>0</v>
      </c>
      <c r="AF26" s="23"/>
      <c r="AG26" s="23"/>
      <c r="AH26" s="36">
        <f t="shared" si="10"/>
        <v>0</v>
      </c>
      <c r="AI26" s="21">
        <f t="shared" si="11"/>
        <v>0</v>
      </c>
      <c r="AJ26" s="22">
        <f t="shared" si="12"/>
        <v>0</v>
      </c>
      <c r="AK26" s="27">
        <f t="shared" si="13"/>
        <v>0</v>
      </c>
      <c r="AL26" s="40">
        <f t="shared" si="14"/>
        <v>0</v>
      </c>
    </row>
    <row r="27" spans="1:38" ht="25.5" customHeight="1">
      <c r="A27" s="39"/>
      <c r="B27" s="23"/>
      <c r="C27" s="56">
        <f t="shared" si="0"/>
        <v>0</v>
      </c>
      <c r="D27" s="23"/>
      <c r="E27" s="23"/>
      <c r="F27" s="23"/>
      <c r="G27" s="23"/>
      <c r="H27" s="23"/>
      <c r="I27" s="5">
        <f t="shared" si="1"/>
        <v>0</v>
      </c>
      <c r="J27" s="6">
        <f t="shared" si="2"/>
        <v>0</v>
      </c>
      <c r="K27" s="23"/>
      <c r="L27" s="23"/>
      <c r="M27" s="7">
        <f t="shared" si="3"/>
        <v>0</v>
      </c>
      <c r="N27" s="23"/>
      <c r="O27" s="8">
        <f t="shared" si="15"/>
        <v>0</v>
      </c>
      <c r="P27" s="23"/>
      <c r="Q27" s="23"/>
      <c r="R27" s="23"/>
      <c r="S27" s="23"/>
      <c r="T27" s="25">
        <f t="shared" si="5"/>
        <v>0</v>
      </c>
      <c r="U27" s="26">
        <f t="shared" si="6"/>
        <v>0</v>
      </c>
      <c r="V27" s="35"/>
      <c r="W27" s="35"/>
      <c r="X27" s="35"/>
      <c r="Y27" s="11">
        <f t="shared" si="7"/>
        <v>0</v>
      </c>
      <c r="Z27" s="23"/>
      <c r="AA27" s="8">
        <f t="shared" si="8"/>
        <v>0</v>
      </c>
      <c r="AB27" s="23"/>
      <c r="AC27" s="23"/>
      <c r="AD27" s="23"/>
      <c r="AE27" s="8">
        <f t="shared" si="9"/>
        <v>0</v>
      </c>
      <c r="AF27" s="23"/>
      <c r="AG27" s="23"/>
      <c r="AH27" s="36">
        <f t="shared" si="10"/>
        <v>0</v>
      </c>
      <c r="AI27" s="21">
        <f t="shared" si="11"/>
        <v>0</v>
      </c>
      <c r="AJ27" s="22">
        <f t="shared" si="12"/>
        <v>0</v>
      </c>
      <c r="AK27" s="27">
        <f t="shared" si="13"/>
        <v>0</v>
      </c>
      <c r="AL27" s="40">
        <f t="shared" si="14"/>
        <v>0</v>
      </c>
    </row>
    <row r="28" spans="1:38" ht="25.5" customHeight="1">
      <c r="A28" s="39"/>
      <c r="B28" s="23"/>
      <c r="C28" s="56">
        <f t="shared" si="0"/>
        <v>0</v>
      </c>
      <c r="D28" s="23"/>
      <c r="E28" s="23"/>
      <c r="F28" s="23"/>
      <c r="G28" s="23"/>
      <c r="H28" s="23"/>
      <c r="I28" s="5">
        <f t="shared" si="1"/>
        <v>0</v>
      </c>
      <c r="J28" s="6">
        <f t="shared" si="2"/>
        <v>0</v>
      </c>
      <c r="K28" s="23"/>
      <c r="L28" s="23"/>
      <c r="M28" s="7">
        <f t="shared" si="3"/>
        <v>0</v>
      </c>
      <c r="N28" s="23"/>
      <c r="O28" s="8">
        <f t="shared" si="15"/>
        <v>0</v>
      </c>
      <c r="P28" s="23"/>
      <c r="Q28" s="23"/>
      <c r="R28" s="23"/>
      <c r="S28" s="23"/>
      <c r="T28" s="25">
        <f t="shared" si="5"/>
        <v>0</v>
      </c>
      <c r="U28" s="26">
        <f t="shared" si="6"/>
        <v>0</v>
      </c>
      <c r="V28" s="35"/>
      <c r="W28" s="35"/>
      <c r="X28" s="35"/>
      <c r="Y28" s="11">
        <f t="shared" si="7"/>
        <v>0</v>
      </c>
      <c r="Z28" s="23"/>
      <c r="AA28" s="8">
        <f t="shared" si="8"/>
        <v>0</v>
      </c>
      <c r="AB28" s="23"/>
      <c r="AC28" s="23"/>
      <c r="AD28" s="23"/>
      <c r="AE28" s="8">
        <f t="shared" si="9"/>
        <v>0</v>
      </c>
      <c r="AF28" s="23"/>
      <c r="AG28" s="23"/>
      <c r="AH28" s="36">
        <f t="shared" si="10"/>
        <v>0</v>
      </c>
      <c r="AI28" s="21">
        <f t="shared" si="11"/>
        <v>0</v>
      </c>
      <c r="AJ28" s="22">
        <f t="shared" si="12"/>
        <v>0</v>
      </c>
      <c r="AK28" s="27">
        <f t="shared" si="13"/>
        <v>0</v>
      </c>
      <c r="AL28" s="40">
        <f t="shared" si="14"/>
        <v>0</v>
      </c>
    </row>
    <row r="29" spans="1:38" ht="25.5" customHeight="1">
      <c r="A29" s="39"/>
      <c r="B29" s="23"/>
      <c r="C29" s="56">
        <f t="shared" si="0"/>
        <v>0</v>
      </c>
      <c r="D29" s="23"/>
      <c r="E29" s="23"/>
      <c r="F29" s="23"/>
      <c r="G29" s="23"/>
      <c r="H29" s="23"/>
      <c r="I29" s="5">
        <f t="shared" si="1"/>
        <v>0</v>
      </c>
      <c r="J29" s="6">
        <f t="shared" si="2"/>
        <v>0</v>
      </c>
      <c r="K29" s="23"/>
      <c r="L29" s="23"/>
      <c r="M29" s="7">
        <f t="shared" si="3"/>
        <v>0</v>
      </c>
      <c r="N29" s="23"/>
      <c r="O29" s="8">
        <f t="shared" si="15"/>
        <v>0</v>
      </c>
      <c r="P29" s="23"/>
      <c r="Q29" s="23"/>
      <c r="R29" s="23"/>
      <c r="S29" s="23"/>
      <c r="T29" s="25">
        <f t="shared" si="5"/>
        <v>0</v>
      </c>
      <c r="U29" s="26">
        <f t="shared" si="6"/>
        <v>0</v>
      </c>
      <c r="V29" s="35"/>
      <c r="W29" s="35"/>
      <c r="X29" s="35"/>
      <c r="Y29" s="11">
        <f t="shared" si="7"/>
        <v>0</v>
      </c>
      <c r="Z29" s="23"/>
      <c r="AA29" s="8">
        <f t="shared" si="8"/>
        <v>0</v>
      </c>
      <c r="AB29" s="23"/>
      <c r="AC29" s="23"/>
      <c r="AD29" s="23"/>
      <c r="AE29" s="8">
        <f t="shared" si="9"/>
        <v>0</v>
      </c>
      <c r="AF29" s="23"/>
      <c r="AG29" s="23"/>
      <c r="AH29" s="36">
        <f t="shared" si="10"/>
        <v>0</v>
      </c>
      <c r="AI29" s="21">
        <f t="shared" si="11"/>
        <v>0</v>
      </c>
      <c r="AJ29" s="22">
        <f t="shared" si="12"/>
        <v>0</v>
      </c>
      <c r="AK29" s="27">
        <f t="shared" si="13"/>
        <v>0</v>
      </c>
      <c r="AL29" s="40">
        <f t="shared" si="14"/>
        <v>0</v>
      </c>
    </row>
    <row r="30" spans="1:38" ht="25.5" customHeight="1">
      <c r="A30" s="39"/>
      <c r="B30" s="23"/>
      <c r="C30" s="56">
        <f t="shared" si="0"/>
        <v>0</v>
      </c>
      <c r="D30" s="23"/>
      <c r="E30" s="23"/>
      <c r="F30" s="23"/>
      <c r="G30" s="23"/>
      <c r="H30" s="23"/>
      <c r="I30" s="5">
        <f t="shared" si="1"/>
        <v>0</v>
      </c>
      <c r="J30" s="6">
        <f t="shared" si="2"/>
        <v>0</v>
      </c>
      <c r="K30" s="23"/>
      <c r="L30" s="23"/>
      <c r="M30" s="7">
        <f t="shared" si="3"/>
        <v>0</v>
      </c>
      <c r="N30" s="23"/>
      <c r="O30" s="8">
        <f t="shared" si="15"/>
        <v>0</v>
      </c>
      <c r="P30" s="23"/>
      <c r="Q30" s="23"/>
      <c r="R30" s="23"/>
      <c r="S30" s="23"/>
      <c r="T30" s="25">
        <f t="shared" si="5"/>
        <v>0</v>
      </c>
      <c r="U30" s="26">
        <f t="shared" si="6"/>
        <v>0</v>
      </c>
      <c r="V30" s="35"/>
      <c r="W30" s="35"/>
      <c r="X30" s="35"/>
      <c r="Y30" s="11">
        <f t="shared" si="7"/>
        <v>0</v>
      </c>
      <c r="Z30" s="23"/>
      <c r="AA30" s="8">
        <f t="shared" si="8"/>
        <v>0</v>
      </c>
      <c r="AB30" s="23"/>
      <c r="AC30" s="23"/>
      <c r="AD30" s="23"/>
      <c r="AE30" s="8">
        <f t="shared" si="9"/>
        <v>0</v>
      </c>
      <c r="AF30" s="23"/>
      <c r="AG30" s="23"/>
      <c r="AH30" s="36">
        <f t="shared" si="10"/>
        <v>0</v>
      </c>
      <c r="AI30" s="21">
        <f t="shared" si="11"/>
        <v>0</v>
      </c>
      <c r="AJ30" s="22">
        <f t="shared" si="12"/>
        <v>0</v>
      </c>
      <c r="AK30" s="27">
        <f t="shared" si="13"/>
        <v>0</v>
      </c>
      <c r="AL30" s="40">
        <f t="shared" si="14"/>
        <v>0</v>
      </c>
    </row>
    <row r="31" spans="1:38" ht="25.5" customHeight="1">
      <c r="A31" s="39"/>
      <c r="B31" s="23"/>
      <c r="C31" s="56">
        <f t="shared" si="0"/>
        <v>0</v>
      </c>
      <c r="D31" s="23"/>
      <c r="E31" s="23"/>
      <c r="F31" s="23"/>
      <c r="G31" s="23"/>
      <c r="H31" s="23"/>
      <c r="I31" s="5">
        <f t="shared" si="1"/>
        <v>0</v>
      </c>
      <c r="J31" s="6">
        <f t="shared" si="2"/>
        <v>0</v>
      </c>
      <c r="K31" s="23"/>
      <c r="L31" s="23"/>
      <c r="M31" s="7">
        <f t="shared" si="3"/>
        <v>0</v>
      </c>
      <c r="N31" s="23"/>
      <c r="O31" s="8">
        <f t="shared" si="15"/>
        <v>0</v>
      </c>
      <c r="P31" s="23"/>
      <c r="Q31" s="23"/>
      <c r="R31" s="23"/>
      <c r="S31" s="23"/>
      <c r="T31" s="25">
        <f t="shared" si="5"/>
        <v>0</v>
      </c>
      <c r="U31" s="26">
        <f t="shared" si="6"/>
        <v>0</v>
      </c>
      <c r="V31" s="35"/>
      <c r="W31" s="35"/>
      <c r="X31" s="35"/>
      <c r="Y31" s="11">
        <f t="shared" si="7"/>
        <v>0</v>
      </c>
      <c r="Z31" s="23"/>
      <c r="AA31" s="8">
        <f t="shared" si="8"/>
        <v>0</v>
      </c>
      <c r="AB31" s="23"/>
      <c r="AC31" s="23"/>
      <c r="AD31" s="23"/>
      <c r="AE31" s="8">
        <f t="shared" si="9"/>
        <v>0</v>
      </c>
      <c r="AF31" s="23"/>
      <c r="AG31" s="23"/>
      <c r="AH31" s="36">
        <f t="shared" si="10"/>
        <v>0</v>
      </c>
      <c r="AI31" s="21">
        <f t="shared" si="11"/>
        <v>0</v>
      </c>
      <c r="AJ31" s="22">
        <f t="shared" si="12"/>
        <v>0</v>
      </c>
      <c r="AK31" s="27">
        <f t="shared" si="13"/>
        <v>0</v>
      </c>
      <c r="AL31" s="40">
        <f t="shared" si="14"/>
        <v>0</v>
      </c>
    </row>
    <row r="32" spans="1:38" ht="26.25" customHeight="1">
      <c r="A32" s="39"/>
      <c r="B32" s="23"/>
      <c r="C32" s="56">
        <f t="shared" si="0"/>
        <v>0</v>
      </c>
      <c r="D32" s="23"/>
      <c r="E32" s="23"/>
      <c r="F32" s="23"/>
      <c r="G32" s="23"/>
      <c r="H32" s="23"/>
      <c r="I32" s="5">
        <f t="shared" si="1"/>
        <v>0</v>
      </c>
      <c r="J32" s="6">
        <f t="shared" si="2"/>
        <v>0</v>
      </c>
      <c r="K32" s="23"/>
      <c r="L32" s="23"/>
      <c r="M32" s="7">
        <f t="shared" si="3"/>
        <v>0</v>
      </c>
      <c r="N32" s="23"/>
      <c r="O32" s="8">
        <f t="shared" si="15"/>
        <v>0</v>
      </c>
      <c r="P32" s="23"/>
      <c r="Q32" s="23"/>
      <c r="R32" s="23"/>
      <c r="S32" s="23"/>
      <c r="T32" s="25">
        <f t="shared" si="5"/>
        <v>0</v>
      </c>
      <c r="U32" s="26">
        <f t="shared" si="6"/>
        <v>0</v>
      </c>
      <c r="V32" s="35"/>
      <c r="W32" s="35"/>
      <c r="X32" s="35"/>
      <c r="Y32" s="11">
        <f t="shared" si="7"/>
        <v>0</v>
      </c>
      <c r="Z32" s="23"/>
      <c r="AA32" s="8">
        <f t="shared" si="8"/>
        <v>0</v>
      </c>
      <c r="AB32" s="23"/>
      <c r="AC32" s="23"/>
      <c r="AD32" s="23"/>
      <c r="AE32" s="8">
        <f t="shared" si="9"/>
        <v>0</v>
      </c>
      <c r="AF32" s="23"/>
      <c r="AG32" s="23"/>
      <c r="AH32" s="36">
        <f t="shared" si="10"/>
        <v>0</v>
      </c>
      <c r="AI32" s="21">
        <f t="shared" si="11"/>
        <v>0</v>
      </c>
      <c r="AJ32" s="22">
        <f t="shared" si="12"/>
        <v>0</v>
      </c>
      <c r="AK32" s="27">
        <f t="shared" si="13"/>
        <v>0</v>
      </c>
      <c r="AL32" s="40">
        <f t="shared" si="14"/>
        <v>0</v>
      </c>
    </row>
    <row r="33" spans="1:38" ht="27.75" customHeight="1">
      <c r="A33" s="39"/>
      <c r="B33" s="23"/>
      <c r="C33" s="56">
        <f t="shared" si="0"/>
        <v>0</v>
      </c>
      <c r="D33" s="23"/>
      <c r="E33" s="23"/>
      <c r="F33" s="23"/>
      <c r="G33" s="23"/>
      <c r="H33" s="23"/>
      <c r="I33" s="5">
        <f t="shared" si="1"/>
        <v>0</v>
      </c>
      <c r="J33" s="6">
        <f t="shared" si="2"/>
        <v>0</v>
      </c>
      <c r="K33" s="23"/>
      <c r="L33" s="23"/>
      <c r="M33" s="7">
        <f t="shared" si="3"/>
        <v>0</v>
      </c>
      <c r="N33" s="23"/>
      <c r="O33" s="8">
        <f t="shared" si="15"/>
        <v>0</v>
      </c>
      <c r="P33" s="23"/>
      <c r="Q33" s="23"/>
      <c r="R33" s="23"/>
      <c r="S33" s="23"/>
      <c r="T33" s="25">
        <f t="shared" si="5"/>
        <v>0</v>
      </c>
      <c r="U33" s="26">
        <f t="shared" si="6"/>
        <v>0</v>
      </c>
      <c r="V33" s="35"/>
      <c r="W33" s="35"/>
      <c r="X33" s="35"/>
      <c r="Y33" s="11">
        <f t="shared" si="7"/>
        <v>0</v>
      </c>
      <c r="Z33" s="23"/>
      <c r="AA33" s="8">
        <f t="shared" si="8"/>
        <v>0</v>
      </c>
      <c r="AB33" s="23"/>
      <c r="AC33" s="23"/>
      <c r="AD33" s="23"/>
      <c r="AE33" s="8">
        <f t="shared" si="9"/>
        <v>0</v>
      </c>
      <c r="AF33" s="23"/>
      <c r="AG33" s="23"/>
      <c r="AH33" s="36">
        <f t="shared" si="10"/>
        <v>0</v>
      </c>
      <c r="AI33" s="21">
        <f t="shared" si="11"/>
        <v>0</v>
      </c>
      <c r="AJ33" s="22">
        <f t="shared" si="12"/>
        <v>0</v>
      </c>
      <c r="AK33" s="27">
        <f t="shared" si="13"/>
        <v>0</v>
      </c>
      <c r="AL33" s="40">
        <f t="shared" si="14"/>
        <v>0</v>
      </c>
    </row>
    <row r="34" spans="1:38">
      <c r="C34" s="59"/>
      <c r="Y34" s="11"/>
      <c r="Z34" s="23"/>
    </row>
    <row r="35" spans="1:38">
      <c r="C35" s="59"/>
      <c r="Y35" s="11"/>
    </row>
    <row r="36" spans="1:38">
      <c r="C36" s="59"/>
      <c r="Y36" s="11"/>
    </row>
    <row r="37" spans="1:38">
      <c r="C37" s="59"/>
    </row>
    <row r="38" spans="1:38">
      <c r="C38" s="59"/>
    </row>
    <row r="39" spans="1:38">
      <c r="C39" s="59"/>
    </row>
    <row r="40" spans="1:38">
      <c r="C40" s="59"/>
    </row>
    <row r="41" spans="1:38">
      <c r="C41" s="59"/>
    </row>
    <row r="42" spans="1:38">
      <c r="C42" s="59"/>
    </row>
    <row r="43" spans="1:38">
      <c r="C43" s="59"/>
    </row>
    <row r="44" spans="1:38">
      <c r="C44" s="59"/>
    </row>
    <row r="45" spans="1:38">
      <c r="C45" s="59"/>
    </row>
    <row r="46" spans="1:38">
      <c r="C46" s="59"/>
    </row>
    <row r="47" spans="1:38">
      <c r="C47" s="59"/>
    </row>
    <row r="48" spans="1:38">
      <c r="C48" s="59"/>
    </row>
    <row r="49" spans="3:3">
      <c r="C49" s="59"/>
    </row>
    <row r="50" spans="3:3">
      <c r="C50" s="59"/>
    </row>
    <row r="51" spans="3:3">
      <c r="C51" s="59"/>
    </row>
    <row r="52" spans="3:3">
      <c r="C52" s="59"/>
    </row>
    <row r="53" spans="3:3">
      <c r="C53" s="59"/>
    </row>
    <row r="54" spans="3:3">
      <c r="C54" s="59"/>
    </row>
    <row r="55" spans="3:3">
      <c r="C55" s="59"/>
    </row>
    <row r="56" spans="3:3">
      <c r="C56" s="59"/>
    </row>
    <row r="57" spans="3:3">
      <c r="C57" s="59"/>
    </row>
    <row r="58" spans="3:3">
      <c r="C58" s="59"/>
    </row>
    <row r="59" spans="3:3">
      <c r="C59" s="59"/>
    </row>
    <row r="60" spans="3:3">
      <c r="C60" s="59"/>
    </row>
    <row r="61" spans="3:3">
      <c r="C61" s="59"/>
    </row>
    <row r="62" spans="3:3">
      <c r="C62" s="59"/>
    </row>
    <row r="63" spans="3:3">
      <c r="C63" s="59"/>
    </row>
    <row r="64" spans="3:3">
      <c r="C64" s="59"/>
    </row>
    <row r="65" spans="3:3">
      <c r="C65" s="59"/>
    </row>
    <row r="66" spans="3:3">
      <c r="C66" s="59"/>
    </row>
    <row r="67" spans="3:3">
      <c r="C67" s="59"/>
    </row>
    <row r="68" spans="3:3">
      <c r="C68" s="59"/>
    </row>
    <row r="69" spans="3:3">
      <c r="C69" s="59"/>
    </row>
    <row r="70" spans="3:3">
      <c r="C70" s="59"/>
    </row>
    <row r="71" spans="3:3">
      <c r="C71" s="59"/>
    </row>
    <row r="72" spans="3:3">
      <c r="C72" s="59"/>
    </row>
    <row r="73" spans="3:3">
      <c r="C73" s="59"/>
    </row>
    <row r="74" spans="3:3">
      <c r="C74" s="59"/>
    </row>
    <row r="75" spans="3:3">
      <c r="C75" s="59"/>
    </row>
    <row r="76" spans="3:3">
      <c r="C76" s="59"/>
    </row>
    <row r="77" spans="3:3">
      <c r="C77" s="59"/>
    </row>
    <row r="78" spans="3:3">
      <c r="C78" s="59"/>
    </row>
    <row r="79" spans="3:3">
      <c r="C79" s="59"/>
    </row>
    <row r="80" spans="3:3">
      <c r="C80" s="59"/>
    </row>
    <row r="81" spans="3:3">
      <c r="C81" s="59"/>
    </row>
    <row r="82" spans="3:3">
      <c r="C82" s="59"/>
    </row>
    <row r="83" spans="3:3">
      <c r="C83" s="59"/>
    </row>
    <row r="84" spans="3:3">
      <c r="C84" s="59"/>
    </row>
    <row r="85" spans="3:3">
      <c r="C85" s="59"/>
    </row>
    <row r="86" spans="3:3">
      <c r="C86" s="59"/>
    </row>
    <row r="87" spans="3:3">
      <c r="C87" s="59"/>
    </row>
    <row r="88" spans="3:3">
      <c r="C88" s="59"/>
    </row>
    <row r="89" spans="3:3">
      <c r="C89" s="59"/>
    </row>
    <row r="90" spans="3:3">
      <c r="C90" s="59"/>
    </row>
    <row r="91" spans="3:3">
      <c r="C91" s="59"/>
    </row>
    <row r="92" spans="3:3">
      <c r="C92" s="59"/>
    </row>
    <row r="93" spans="3:3">
      <c r="C93" s="59"/>
    </row>
    <row r="94" spans="3:3">
      <c r="C94" s="59"/>
    </row>
    <row r="95" spans="3:3">
      <c r="C95" s="59"/>
    </row>
    <row r="96" spans="3:3">
      <c r="C96" s="59"/>
    </row>
    <row r="97" spans="3:3">
      <c r="C97" s="59"/>
    </row>
    <row r="98" spans="3:3">
      <c r="C98" s="59"/>
    </row>
    <row r="99" spans="3:3">
      <c r="C99" s="59"/>
    </row>
    <row r="100" spans="3:3">
      <c r="C100" s="59"/>
    </row>
    <row r="101" spans="3:3">
      <c r="C101" s="59"/>
    </row>
    <row r="102" spans="3:3">
      <c r="C102" s="59"/>
    </row>
    <row r="103" spans="3:3">
      <c r="C103" s="59"/>
    </row>
    <row r="104" spans="3:3">
      <c r="C104" s="59"/>
    </row>
    <row r="105" spans="3:3">
      <c r="C105" s="59"/>
    </row>
    <row r="106" spans="3:3">
      <c r="C106" s="59"/>
    </row>
    <row r="107" spans="3:3">
      <c r="C107" s="59"/>
    </row>
    <row r="108" spans="3:3">
      <c r="C108" s="59"/>
    </row>
    <row r="109" spans="3:3">
      <c r="C109" s="59"/>
    </row>
    <row r="110" spans="3:3">
      <c r="C110" s="59"/>
    </row>
    <row r="111" spans="3:3">
      <c r="C111" s="59"/>
    </row>
    <row r="112" spans="3:3">
      <c r="C112" s="59"/>
    </row>
    <row r="113" spans="3:3">
      <c r="C113" s="59"/>
    </row>
    <row r="114" spans="3:3">
      <c r="C114" s="59"/>
    </row>
    <row r="115" spans="3:3">
      <c r="C115" s="59"/>
    </row>
    <row r="116" spans="3:3">
      <c r="C116" s="59"/>
    </row>
    <row r="117" spans="3:3">
      <c r="C117" s="59"/>
    </row>
    <row r="118" spans="3:3">
      <c r="C118" s="59"/>
    </row>
    <row r="119" spans="3:3">
      <c r="C119" s="59"/>
    </row>
    <row r="120" spans="3:3">
      <c r="C120" s="59"/>
    </row>
    <row r="121" spans="3:3">
      <c r="C121" s="59"/>
    </row>
    <row r="122" spans="3:3">
      <c r="C122" s="59"/>
    </row>
    <row r="123" spans="3:3">
      <c r="C123" s="59"/>
    </row>
    <row r="124" spans="3:3">
      <c r="C124" s="59"/>
    </row>
    <row r="125" spans="3:3">
      <c r="C125" s="59"/>
    </row>
    <row r="126" spans="3:3">
      <c r="C126" s="59"/>
    </row>
    <row r="127" spans="3:3">
      <c r="C127" s="59"/>
    </row>
    <row r="128" spans="3:3">
      <c r="C128" s="59"/>
    </row>
    <row r="129" spans="3:3">
      <c r="C129" s="59"/>
    </row>
    <row r="130" spans="3:3">
      <c r="C130" s="59"/>
    </row>
    <row r="131" spans="3:3">
      <c r="C131" s="59"/>
    </row>
    <row r="132" spans="3:3">
      <c r="C132" s="59"/>
    </row>
    <row r="133" spans="3:3">
      <c r="C133" s="59"/>
    </row>
    <row r="134" spans="3:3">
      <c r="C134" s="59"/>
    </row>
    <row r="135" spans="3:3">
      <c r="C135" s="59"/>
    </row>
    <row r="136" spans="3:3">
      <c r="C136" s="59"/>
    </row>
    <row r="137" spans="3:3">
      <c r="C137" s="59"/>
    </row>
    <row r="138" spans="3:3">
      <c r="C138" s="59"/>
    </row>
    <row r="139" spans="3:3">
      <c r="C139" s="59"/>
    </row>
    <row r="140" spans="3:3">
      <c r="C140" s="59"/>
    </row>
    <row r="141" spans="3:3">
      <c r="C141" s="59"/>
    </row>
    <row r="142" spans="3:3">
      <c r="C142" s="59"/>
    </row>
    <row r="143" spans="3:3">
      <c r="C143" s="59"/>
    </row>
    <row r="144" spans="3:3">
      <c r="C144" s="59"/>
    </row>
    <row r="145" spans="3:3">
      <c r="C145" s="59"/>
    </row>
    <row r="146" spans="3:3">
      <c r="C146" s="59"/>
    </row>
    <row r="147" spans="3:3">
      <c r="C147" s="59"/>
    </row>
    <row r="148" spans="3:3">
      <c r="C148" s="59"/>
    </row>
    <row r="149" spans="3:3">
      <c r="C149" s="59"/>
    </row>
    <row r="150" spans="3:3">
      <c r="C150" s="59"/>
    </row>
    <row r="151" spans="3:3">
      <c r="C151" s="59"/>
    </row>
    <row r="152" spans="3:3">
      <c r="C152" s="59"/>
    </row>
    <row r="153" spans="3:3">
      <c r="C153" s="59"/>
    </row>
    <row r="154" spans="3:3">
      <c r="C154" s="59"/>
    </row>
    <row r="155" spans="3:3">
      <c r="C155" s="59"/>
    </row>
    <row r="156" spans="3:3">
      <c r="C156" s="59"/>
    </row>
    <row r="157" spans="3:3">
      <c r="C157" s="59"/>
    </row>
    <row r="158" spans="3:3">
      <c r="C158" s="59"/>
    </row>
    <row r="159" spans="3:3">
      <c r="C159" s="59"/>
    </row>
    <row r="160" spans="3:3">
      <c r="C160" s="59"/>
    </row>
    <row r="161" spans="3:3">
      <c r="C161" s="59"/>
    </row>
    <row r="162" spans="3:3">
      <c r="C162" s="59"/>
    </row>
    <row r="163" spans="3:3">
      <c r="C163" s="59"/>
    </row>
    <row r="164" spans="3:3">
      <c r="C164" s="59"/>
    </row>
    <row r="165" spans="3:3">
      <c r="C165" s="59"/>
    </row>
    <row r="166" spans="3:3">
      <c r="C166" s="59"/>
    </row>
    <row r="167" spans="3:3">
      <c r="C167" s="59"/>
    </row>
    <row r="168" spans="3:3">
      <c r="C168" s="59"/>
    </row>
    <row r="169" spans="3:3">
      <c r="C169" s="59"/>
    </row>
    <row r="170" spans="3:3">
      <c r="C170" s="59"/>
    </row>
    <row r="171" spans="3:3">
      <c r="C171" s="59"/>
    </row>
    <row r="172" spans="3:3">
      <c r="C172" s="59"/>
    </row>
    <row r="173" spans="3:3">
      <c r="C173" s="59"/>
    </row>
    <row r="174" spans="3:3">
      <c r="C174" s="59"/>
    </row>
    <row r="175" spans="3:3">
      <c r="C175" s="59"/>
    </row>
    <row r="176" spans="3:3">
      <c r="C176" s="59"/>
    </row>
    <row r="177" spans="3:3">
      <c r="C177" s="59"/>
    </row>
    <row r="178" spans="3:3">
      <c r="C178" s="59"/>
    </row>
    <row r="179" spans="3:3">
      <c r="C179" s="59"/>
    </row>
    <row r="180" spans="3:3">
      <c r="C180" s="59"/>
    </row>
    <row r="181" spans="3:3">
      <c r="C181" s="59"/>
    </row>
    <row r="182" spans="3:3">
      <c r="C182" s="59"/>
    </row>
    <row r="183" spans="3:3">
      <c r="C183" s="59"/>
    </row>
    <row r="184" spans="3:3">
      <c r="C184" s="59"/>
    </row>
    <row r="185" spans="3:3">
      <c r="C185" s="59"/>
    </row>
    <row r="186" spans="3:3">
      <c r="C186" s="59"/>
    </row>
    <row r="187" spans="3:3">
      <c r="C187" s="59"/>
    </row>
    <row r="188" spans="3:3">
      <c r="C188" s="59"/>
    </row>
    <row r="189" spans="3:3">
      <c r="C189" s="59"/>
    </row>
    <row r="190" spans="3:3">
      <c r="C190" s="59"/>
    </row>
    <row r="191" spans="3:3">
      <c r="C191" s="59"/>
    </row>
    <row r="192" spans="3:3">
      <c r="C192" s="59"/>
    </row>
    <row r="193" spans="3:3">
      <c r="C193" s="59"/>
    </row>
    <row r="194" spans="3:3">
      <c r="C194" s="59"/>
    </row>
    <row r="195" spans="3:3">
      <c r="C195" s="59"/>
    </row>
    <row r="196" spans="3:3">
      <c r="C196" s="59"/>
    </row>
    <row r="197" spans="3:3">
      <c r="C197" s="59"/>
    </row>
    <row r="198" spans="3:3">
      <c r="C198" s="59"/>
    </row>
    <row r="199" spans="3:3">
      <c r="C199" s="59"/>
    </row>
    <row r="200" spans="3:3">
      <c r="C200" s="59"/>
    </row>
    <row r="201" spans="3:3">
      <c r="C201" s="59"/>
    </row>
    <row r="202" spans="3:3">
      <c r="C202" s="59"/>
    </row>
    <row r="203" spans="3:3">
      <c r="C203" s="59"/>
    </row>
    <row r="204" spans="3:3">
      <c r="C204" s="59"/>
    </row>
    <row r="205" spans="3:3">
      <c r="C205" s="59"/>
    </row>
    <row r="206" spans="3:3">
      <c r="C206" s="59"/>
    </row>
    <row r="207" spans="3:3">
      <c r="C207" s="59"/>
    </row>
    <row r="208" spans="3:3">
      <c r="C208" s="59"/>
    </row>
    <row r="209" spans="3:3">
      <c r="C209" s="59"/>
    </row>
    <row r="210" spans="3:3">
      <c r="C210" s="59"/>
    </row>
    <row r="211" spans="3:3">
      <c r="C211" s="59"/>
    </row>
    <row r="212" spans="3:3">
      <c r="C212" s="59"/>
    </row>
    <row r="213" spans="3:3">
      <c r="C213" s="59"/>
    </row>
    <row r="214" spans="3:3">
      <c r="C214" s="59"/>
    </row>
    <row r="215" spans="3:3">
      <c r="C215" s="59"/>
    </row>
    <row r="216" spans="3:3">
      <c r="C216" s="59"/>
    </row>
    <row r="217" spans="3:3">
      <c r="C217" s="59"/>
    </row>
    <row r="218" spans="3:3">
      <c r="C218" s="59"/>
    </row>
    <row r="219" spans="3:3">
      <c r="C219" s="59"/>
    </row>
    <row r="220" spans="3:3">
      <c r="C220" s="59"/>
    </row>
    <row r="221" spans="3:3">
      <c r="C221" s="59"/>
    </row>
    <row r="222" spans="3:3">
      <c r="C222" s="59"/>
    </row>
    <row r="223" spans="3:3">
      <c r="C223" s="59"/>
    </row>
    <row r="224" spans="3:3">
      <c r="C224" s="59"/>
    </row>
    <row r="225" spans="3:3">
      <c r="C225" s="59"/>
    </row>
    <row r="226" spans="3:3">
      <c r="C226" s="59"/>
    </row>
    <row r="227" spans="3:3">
      <c r="C227" s="59"/>
    </row>
    <row r="228" spans="3:3">
      <c r="C228" s="59"/>
    </row>
    <row r="229" spans="3:3">
      <c r="C229" s="59"/>
    </row>
    <row r="230" spans="3:3">
      <c r="C230" s="59"/>
    </row>
    <row r="231" spans="3:3">
      <c r="C231" s="59"/>
    </row>
    <row r="232" spans="3:3">
      <c r="C232" s="59"/>
    </row>
    <row r="233" spans="3:3">
      <c r="C233" s="59"/>
    </row>
    <row r="234" spans="3:3">
      <c r="C234" s="59"/>
    </row>
    <row r="235" spans="3:3">
      <c r="C235" s="59"/>
    </row>
    <row r="236" spans="3:3">
      <c r="C236" s="59"/>
    </row>
    <row r="237" spans="3:3">
      <c r="C237" s="59"/>
    </row>
    <row r="238" spans="3:3">
      <c r="C238" s="59"/>
    </row>
    <row r="239" spans="3:3">
      <c r="C239" s="59"/>
    </row>
    <row r="240" spans="3:3">
      <c r="C240" s="59"/>
    </row>
    <row r="241" spans="3:3">
      <c r="C241" s="59"/>
    </row>
    <row r="242" spans="3:3">
      <c r="C242" s="59"/>
    </row>
    <row r="243" spans="3:3">
      <c r="C243" s="59"/>
    </row>
    <row r="244" spans="3:3">
      <c r="C244" s="59"/>
    </row>
    <row r="245" spans="3:3">
      <c r="C245" s="59"/>
    </row>
    <row r="246" spans="3:3">
      <c r="C246" s="59"/>
    </row>
    <row r="247" spans="3:3">
      <c r="C247" s="59"/>
    </row>
    <row r="248" spans="3:3">
      <c r="C248" s="59"/>
    </row>
    <row r="249" spans="3:3">
      <c r="C249" s="59"/>
    </row>
    <row r="250" spans="3:3">
      <c r="C250" s="59"/>
    </row>
    <row r="251" spans="3:3">
      <c r="C251" s="59"/>
    </row>
    <row r="252" spans="3:3">
      <c r="C252" s="59"/>
    </row>
    <row r="253" spans="3:3">
      <c r="C253" s="59"/>
    </row>
    <row r="254" spans="3:3">
      <c r="C254" s="59"/>
    </row>
    <row r="255" spans="3:3">
      <c r="C255" s="59"/>
    </row>
    <row r="256" spans="3:3">
      <c r="C256" s="59"/>
    </row>
    <row r="257" spans="3:3">
      <c r="C257" s="59"/>
    </row>
    <row r="258" spans="3:3">
      <c r="C258" s="59"/>
    </row>
    <row r="259" spans="3:3">
      <c r="C259" s="59"/>
    </row>
    <row r="260" spans="3:3">
      <c r="C260" s="59"/>
    </row>
    <row r="261" spans="3:3">
      <c r="C261" s="59"/>
    </row>
    <row r="262" spans="3:3">
      <c r="C262" s="59"/>
    </row>
    <row r="263" spans="3:3">
      <c r="C263" s="59"/>
    </row>
    <row r="264" spans="3:3">
      <c r="C264" s="59"/>
    </row>
    <row r="265" spans="3:3">
      <c r="C265" s="59"/>
    </row>
    <row r="266" spans="3:3">
      <c r="C266" s="59"/>
    </row>
    <row r="267" spans="3:3">
      <c r="C267" s="59"/>
    </row>
    <row r="268" spans="3:3">
      <c r="C268" s="59"/>
    </row>
    <row r="269" spans="3:3">
      <c r="C269" s="59"/>
    </row>
    <row r="270" spans="3:3">
      <c r="C270" s="59"/>
    </row>
    <row r="271" spans="3:3">
      <c r="C271" s="59"/>
    </row>
    <row r="272" spans="3:3">
      <c r="C272" s="59"/>
    </row>
    <row r="273" spans="3:3">
      <c r="C273" s="59"/>
    </row>
    <row r="274" spans="3:3">
      <c r="C274" s="59"/>
    </row>
    <row r="275" spans="3:3">
      <c r="C275" s="59"/>
    </row>
    <row r="276" spans="3:3">
      <c r="C276" s="59"/>
    </row>
    <row r="277" spans="3:3">
      <c r="C277" s="59"/>
    </row>
    <row r="278" spans="3:3">
      <c r="C278" s="59"/>
    </row>
    <row r="279" spans="3:3">
      <c r="C279" s="59"/>
    </row>
    <row r="280" spans="3:3">
      <c r="C280" s="59"/>
    </row>
    <row r="281" spans="3:3">
      <c r="C281" s="59"/>
    </row>
    <row r="282" spans="3:3">
      <c r="C282" s="59"/>
    </row>
    <row r="283" spans="3:3">
      <c r="C283" s="59"/>
    </row>
    <row r="284" spans="3:3">
      <c r="C284" s="59"/>
    </row>
    <row r="285" spans="3:3">
      <c r="C285" s="59"/>
    </row>
    <row r="286" spans="3:3">
      <c r="C286" s="59"/>
    </row>
    <row r="287" spans="3:3">
      <c r="C287" s="59"/>
    </row>
    <row r="288" spans="3:3">
      <c r="C288" s="59"/>
    </row>
    <row r="289" spans="3:3">
      <c r="C289" s="59"/>
    </row>
    <row r="290" spans="3:3">
      <c r="C290" s="59"/>
    </row>
    <row r="291" spans="3:3">
      <c r="C291" s="59"/>
    </row>
    <row r="292" spans="3:3">
      <c r="C292" s="59"/>
    </row>
    <row r="293" spans="3:3">
      <c r="C293" s="59"/>
    </row>
    <row r="294" spans="3:3">
      <c r="C294" s="59"/>
    </row>
    <row r="295" spans="3:3">
      <c r="C295" s="59"/>
    </row>
    <row r="296" spans="3:3">
      <c r="C296" s="59"/>
    </row>
    <row r="297" spans="3:3">
      <c r="C297" s="59"/>
    </row>
    <row r="298" spans="3:3">
      <c r="C298" s="59"/>
    </row>
    <row r="299" spans="3:3">
      <c r="C299" s="59"/>
    </row>
    <row r="300" spans="3:3">
      <c r="C300" s="59"/>
    </row>
    <row r="301" spans="3:3">
      <c r="C301" s="59"/>
    </row>
    <row r="302" spans="3:3">
      <c r="C302" s="59"/>
    </row>
    <row r="303" spans="3:3">
      <c r="C303" s="59"/>
    </row>
    <row r="304" spans="3:3">
      <c r="C304" s="59"/>
    </row>
    <row r="305" spans="3:3">
      <c r="C305" s="59"/>
    </row>
    <row r="306" spans="3:3">
      <c r="C306" s="59"/>
    </row>
    <row r="307" spans="3:3">
      <c r="C307" s="59"/>
    </row>
    <row r="308" spans="3:3">
      <c r="C308" s="59"/>
    </row>
    <row r="309" spans="3:3">
      <c r="C309" s="59"/>
    </row>
    <row r="310" spans="3:3">
      <c r="C310" s="59"/>
    </row>
    <row r="311" spans="3:3">
      <c r="C311" s="59"/>
    </row>
    <row r="312" spans="3:3">
      <c r="C312" s="59"/>
    </row>
    <row r="313" spans="3:3">
      <c r="C313" s="59"/>
    </row>
    <row r="314" spans="3:3">
      <c r="C314" s="59"/>
    </row>
    <row r="315" spans="3:3">
      <c r="C315" s="59"/>
    </row>
    <row r="316" spans="3:3">
      <c r="C316" s="59"/>
    </row>
    <row r="317" spans="3:3">
      <c r="C317" s="59"/>
    </row>
    <row r="318" spans="3:3">
      <c r="C318" s="59"/>
    </row>
    <row r="319" spans="3:3">
      <c r="C319" s="59"/>
    </row>
    <row r="320" spans="3:3">
      <c r="C320" s="59"/>
    </row>
    <row r="321" spans="3:3">
      <c r="C321" s="59"/>
    </row>
    <row r="322" spans="3:3">
      <c r="C322" s="59"/>
    </row>
    <row r="323" spans="3:3">
      <c r="C323" s="59"/>
    </row>
    <row r="324" spans="3:3">
      <c r="C324" s="59"/>
    </row>
    <row r="325" spans="3:3">
      <c r="C325" s="59"/>
    </row>
    <row r="326" spans="3:3">
      <c r="C326" s="59"/>
    </row>
    <row r="327" spans="3:3">
      <c r="C327" s="59"/>
    </row>
    <row r="328" spans="3:3">
      <c r="C328" s="59"/>
    </row>
    <row r="329" spans="3:3">
      <c r="C329" s="59"/>
    </row>
    <row r="330" spans="3:3">
      <c r="C330" s="59"/>
    </row>
    <row r="331" spans="3:3">
      <c r="C331" s="59"/>
    </row>
    <row r="332" spans="3:3">
      <c r="C332" s="59"/>
    </row>
    <row r="333" spans="3:3">
      <c r="C333" s="59"/>
    </row>
    <row r="334" spans="3:3">
      <c r="C334" s="59"/>
    </row>
    <row r="335" spans="3:3">
      <c r="C335" s="59"/>
    </row>
    <row r="336" spans="3:3">
      <c r="C336" s="59"/>
    </row>
    <row r="337" spans="3:3">
      <c r="C337" s="59"/>
    </row>
    <row r="338" spans="3:3">
      <c r="C338" s="59"/>
    </row>
    <row r="339" spans="3:3">
      <c r="C339" s="59"/>
    </row>
    <row r="340" spans="3:3">
      <c r="C340" s="59"/>
    </row>
    <row r="341" spans="3:3">
      <c r="C341" s="59"/>
    </row>
    <row r="342" spans="3:3">
      <c r="C342" s="59"/>
    </row>
    <row r="343" spans="3:3">
      <c r="C343" s="59"/>
    </row>
    <row r="344" spans="3:3">
      <c r="C344" s="59"/>
    </row>
    <row r="345" spans="3:3">
      <c r="C345" s="59"/>
    </row>
    <row r="346" spans="3:3">
      <c r="C346" s="59"/>
    </row>
    <row r="347" spans="3:3">
      <c r="C347" s="59"/>
    </row>
    <row r="348" spans="3:3">
      <c r="C348" s="59"/>
    </row>
    <row r="349" spans="3:3">
      <c r="C349" s="59"/>
    </row>
    <row r="350" spans="3:3">
      <c r="C350" s="59"/>
    </row>
    <row r="351" spans="3:3">
      <c r="C351" s="59"/>
    </row>
    <row r="352" spans="3:3">
      <c r="C352" s="59"/>
    </row>
    <row r="353" spans="3:3">
      <c r="C353" s="59"/>
    </row>
    <row r="354" spans="3:3">
      <c r="C354" s="59"/>
    </row>
    <row r="355" spans="3:3">
      <c r="C355" s="59"/>
    </row>
    <row r="356" spans="3:3">
      <c r="C356" s="59"/>
    </row>
    <row r="357" spans="3:3">
      <c r="C357" s="59"/>
    </row>
    <row r="358" spans="3:3">
      <c r="C358" s="59"/>
    </row>
    <row r="359" spans="3:3">
      <c r="C359" s="59"/>
    </row>
    <row r="360" spans="3:3">
      <c r="C360" s="59"/>
    </row>
    <row r="361" spans="3:3">
      <c r="C361" s="59"/>
    </row>
    <row r="362" spans="3:3">
      <c r="C362" s="59"/>
    </row>
    <row r="363" spans="3:3">
      <c r="C363" s="59"/>
    </row>
    <row r="364" spans="3:3">
      <c r="C364" s="59"/>
    </row>
    <row r="365" spans="3:3">
      <c r="C365" s="59"/>
    </row>
    <row r="366" spans="3:3">
      <c r="C366" s="59"/>
    </row>
    <row r="367" spans="3:3">
      <c r="C367" s="59"/>
    </row>
    <row r="368" spans="3:3">
      <c r="C368" s="59"/>
    </row>
    <row r="369" spans="3:3">
      <c r="C369" s="59"/>
    </row>
    <row r="370" spans="3:3">
      <c r="C370" s="59"/>
    </row>
    <row r="371" spans="3:3">
      <c r="C371" s="59"/>
    </row>
    <row r="372" spans="3:3">
      <c r="C372" s="59"/>
    </row>
    <row r="373" spans="3:3">
      <c r="C373" s="59"/>
    </row>
    <row r="374" spans="3:3">
      <c r="C374" s="59"/>
    </row>
    <row r="375" spans="3:3">
      <c r="C375" s="59"/>
    </row>
    <row r="376" spans="3:3">
      <c r="C376" s="59"/>
    </row>
    <row r="377" spans="3:3">
      <c r="C377" s="59"/>
    </row>
    <row r="378" spans="3:3">
      <c r="C378" s="59"/>
    </row>
    <row r="379" spans="3:3">
      <c r="C379" s="59"/>
    </row>
    <row r="380" spans="3:3">
      <c r="C380" s="59"/>
    </row>
    <row r="381" spans="3:3">
      <c r="C381" s="59"/>
    </row>
    <row r="382" spans="3:3">
      <c r="C382" s="59"/>
    </row>
    <row r="383" spans="3:3">
      <c r="C383" s="59"/>
    </row>
    <row r="384" spans="3:3">
      <c r="C384" s="59"/>
    </row>
    <row r="385" spans="3:3">
      <c r="C385" s="59"/>
    </row>
    <row r="386" spans="3:3">
      <c r="C386" s="59"/>
    </row>
    <row r="387" spans="3:3">
      <c r="C387" s="59"/>
    </row>
    <row r="388" spans="3:3">
      <c r="C388" s="59"/>
    </row>
    <row r="389" spans="3:3">
      <c r="C389" s="59"/>
    </row>
    <row r="390" spans="3:3">
      <c r="C390" s="59"/>
    </row>
    <row r="391" spans="3:3">
      <c r="C391" s="59"/>
    </row>
    <row r="392" spans="3:3">
      <c r="C392" s="59"/>
    </row>
    <row r="393" spans="3:3">
      <c r="C393" s="59"/>
    </row>
    <row r="394" spans="3:3">
      <c r="C394" s="59"/>
    </row>
    <row r="395" spans="3:3">
      <c r="C395" s="59"/>
    </row>
    <row r="396" spans="3:3">
      <c r="C396" s="59"/>
    </row>
    <row r="397" spans="3:3">
      <c r="C397" s="59"/>
    </row>
    <row r="398" spans="3:3">
      <c r="C398" s="59"/>
    </row>
    <row r="399" spans="3:3">
      <c r="C399" s="59"/>
    </row>
    <row r="400" spans="3:3">
      <c r="C400" s="59"/>
    </row>
    <row r="401" spans="3:3">
      <c r="C401" s="59"/>
    </row>
    <row r="402" spans="3:3">
      <c r="C402" s="59"/>
    </row>
    <row r="403" spans="3:3">
      <c r="C403" s="59"/>
    </row>
    <row r="404" spans="3:3">
      <c r="C404" s="59"/>
    </row>
    <row r="405" spans="3:3">
      <c r="C405" s="59"/>
    </row>
    <row r="406" spans="3:3">
      <c r="C406" s="59"/>
    </row>
    <row r="407" spans="3:3">
      <c r="C407" s="59"/>
    </row>
    <row r="408" spans="3:3">
      <c r="C408" s="59"/>
    </row>
    <row r="409" spans="3:3">
      <c r="C409" s="59"/>
    </row>
    <row r="410" spans="3:3">
      <c r="C410" s="59"/>
    </row>
    <row r="411" spans="3:3">
      <c r="C411" s="59"/>
    </row>
    <row r="412" spans="3:3">
      <c r="C412" s="59"/>
    </row>
    <row r="413" spans="3:3">
      <c r="C413" s="59"/>
    </row>
    <row r="414" spans="3:3">
      <c r="C414" s="59"/>
    </row>
    <row r="415" spans="3:3">
      <c r="C415" s="59"/>
    </row>
    <row r="416" spans="3:3">
      <c r="C416" s="59"/>
    </row>
    <row r="417" spans="3:3">
      <c r="C417" s="59"/>
    </row>
    <row r="418" spans="3:3">
      <c r="C418" s="59"/>
    </row>
    <row r="419" spans="3:3">
      <c r="C419" s="59"/>
    </row>
    <row r="420" spans="3:3">
      <c r="C420" s="59"/>
    </row>
    <row r="421" spans="3:3">
      <c r="C421" s="59"/>
    </row>
    <row r="422" spans="3:3">
      <c r="C422" s="59"/>
    </row>
    <row r="423" spans="3:3">
      <c r="C423" s="59"/>
    </row>
    <row r="424" spans="3:3">
      <c r="C424" s="59"/>
    </row>
    <row r="425" spans="3:3">
      <c r="C425" s="59"/>
    </row>
    <row r="426" spans="3:3">
      <c r="C426" s="59"/>
    </row>
    <row r="427" spans="3:3">
      <c r="C427" s="59"/>
    </row>
    <row r="428" spans="3:3">
      <c r="C428" s="59"/>
    </row>
    <row r="429" spans="3:3">
      <c r="C429" s="59"/>
    </row>
    <row r="430" spans="3:3">
      <c r="C430" s="59"/>
    </row>
    <row r="431" spans="3:3">
      <c r="C431" s="59"/>
    </row>
    <row r="432" spans="3:3">
      <c r="C432" s="59"/>
    </row>
    <row r="433" spans="3:3">
      <c r="C433" s="59"/>
    </row>
    <row r="434" spans="3:3">
      <c r="C434" s="59"/>
    </row>
    <row r="435" spans="3:3">
      <c r="C435" s="59"/>
    </row>
    <row r="436" spans="3:3">
      <c r="C436" s="59"/>
    </row>
    <row r="437" spans="3:3">
      <c r="C437" s="59"/>
    </row>
    <row r="438" spans="3:3">
      <c r="C438" s="59"/>
    </row>
    <row r="439" spans="3:3">
      <c r="C439" s="59"/>
    </row>
    <row r="440" spans="3:3">
      <c r="C440" s="59"/>
    </row>
    <row r="441" spans="3:3">
      <c r="C441" s="59"/>
    </row>
    <row r="442" spans="3:3">
      <c r="C442" s="59"/>
    </row>
    <row r="443" spans="3:3">
      <c r="C443" s="59"/>
    </row>
    <row r="444" spans="3:3">
      <c r="C444" s="59"/>
    </row>
    <row r="445" spans="3:3">
      <c r="C445" s="59"/>
    </row>
    <row r="446" spans="3:3">
      <c r="C446" s="59"/>
    </row>
    <row r="447" spans="3:3">
      <c r="C447" s="59"/>
    </row>
    <row r="448" spans="3:3">
      <c r="C448" s="59"/>
    </row>
    <row r="449" spans="3:3">
      <c r="C449" s="59"/>
    </row>
    <row r="450" spans="3:3">
      <c r="C450" s="59"/>
    </row>
    <row r="451" spans="3:3">
      <c r="C451" s="59"/>
    </row>
    <row r="452" spans="3:3">
      <c r="C452" s="59"/>
    </row>
    <row r="453" spans="3:3">
      <c r="C453" s="59"/>
    </row>
    <row r="454" spans="3:3">
      <c r="C454" s="59"/>
    </row>
    <row r="455" spans="3:3">
      <c r="C455" s="59"/>
    </row>
    <row r="456" spans="3:3">
      <c r="C456" s="59"/>
    </row>
    <row r="457" spans="3:3">
      <c r="C457" s="59"/>
    </row>
    <row r="458" spans="3:3">
      <c r="C458" s="59"/>
    </row>
    <row r="459" spans="3:3">
      <c r="C459" s="59"/>
    </row>
    <row r="460" spans="3:3">
      <c r="C460" s="59"/>
    </row>
    <row r="461" spans="3:3">
      <c r="C461" s="59"/>
    </row>
    <row r="462" spans="3:3">
      <c r="C462" s="59"/>
    </row>
    <row r="463" spans="3:3">
      <c r="C463" s="59"/>
    </row>
    <row r="464" spans="3:3">
      <c r="C464" s="59"/>
    </row>
    <row r="465" spans="3:3">
      <c r="C465" s="59"/>
    </row>
    <row r="466" spans="3:3">
      <c r="C466" s="59"/>
    </row>
    <row r="467" spans="3:3">
      <c r="C467" s="59"/>
    </row>
    <row r="468" spans="3:3">
      <c r="C468" s="59"/>
    </row>
    <row r="469" spans="3:3">
      <c r="C469" s="59"/>
    </row>
    <row r="470" spans="3:3">
      <c r="C470" s="59"/>
    </row>
    <row r="471" spans="3:3">
      <c r="C471" s="59"/>
    </row>
    <row r="472" spans="3:3">
      <c r="C472" s="59"/>
    </row>
    <row r="473" spans="3:3">
      <c r="C473" s="59"/>
    </row>
    <row r="474" spans="3:3">
      <c r="C474" s="59"/>
    </row>
    <row r="475" spans="3:3">
      <c r="C475" s="59"/>
    </row>
    <row r="476" spans="3:3">
      <c r="C476" s="59"/>
    </row>
    <row r="477" spans="3:3">
      <c r="C477" s="59"/>
    </row>
    <row r="478" spans="3:3">
      <c r="C478" s="59"/>
    </row>
    <row r="479" spans="3:3">
      <c r="C479" s="59"/>
    </row>
    <row r="480" spans="3:3">
      <c r="C480" s="59"/>
    </row>
    <row r="481" spans="3:3">
      <c r="C481" s="59"/>
    </row>
    <row r="482" spans="3:3">
      <c r="C482" s="59"/>
    </row>
    <row r="483" spans="3:3">
      <c r="C483" s="59"/>
    </row>
    <row r="484" spans="3:3">
      <c r="C484" s="59"/>
    </row>
    <row r="485" spans="3:3">
      <c r="C485" s="59"/>
    </row>
    <row r="486" spans="3:3">
      <c r="C486" s="59"/>
    </row>
    <row r="487" spans="3:3">
      <c r="C487" s="59"/>
    </row>
    <row r="488" spans="3:3">
      <c r="C488" s="59"/>
    </row>
    <row r="489" spans="3:3">
      <c r="C489" s="59"/>
    </row>
    <row r="490" spans="3:3">
      <c r="C490" s="59"/>
    </row>
    <row r="491" spans="3:3">
      <c r="C491" s="59"/>
    </row>
    <row r="492" spans="3:3">
      <c r="C492" s="59"/>
    </row>
    <row r="493" spans="3:3">
      <c r="C493" s="59"/>
    </row>
    <row r="494" spans="3:3">
      <c r="C494" s="59"/>
    </row>
    <row r="495" spans="3:3">
      <c r="C495" s="59"/>
    </row>
    <row r="496" spans="3:3">
      <c r="C496" s="59"/>
    </row>
    <row r="497" spans="3:3">
      <c r="C497" s="59"/>
    </row>
    <row r="498" spans="3:3">
      <c r="C498" s="59"/>
    </row>
    <row r="499" spans="3:3">
      <c r="C499" s="59"/>
    </row>
    <row r="500" spans="3:3">
      <c r="C500" s="59"/>
    </row>
    <row r="501" spans="3:3">
      <c r="C501" s="59"/>
    </row>
    <row r="502" spans="3:3">
      <c r="C502" s="59"/>
    </row>
    <row r="503" spans="3:3">
      <c r="C503" s="59"/>
    </row>
    <row r="504" spans="3:3">
      <c r="C504" s="59"/>
    </row>
    <row r="505" spans="3:3">
      <c r="C505" s="59"/>
    </row>
    <row r="506" spans="3:3">
      <c r="C506" s="59"/>
    </row>
    <row r="507" spans="3:3">
      <c r="C507" s="59"/>
    </row>
    <row r="508" spans="3:3">
      <c r="C508" s="59"/>
    </row>
    <row r="509" spans="3:3">
      <c r="C509" s="59"/>
    </row>
    <row r="510" spans="3:3">
      <c r="C510" s="59"/>
    </row>
    <row r="511" spans="3:3">
      <c r="C511" s="59"/>
    </row>
    <row r="512" spans="3:3">
      <c r="C512" s="59"/>
    </row>
    <row r="513" spans="3:3">
      <c r="C513" s="59"/>
    </row>
    <row r="514" spans="3:3">
      <c r="C514" s="59"/>
    </row>
    <row r="515" spans="3:3">
      <c r="C515" s="59"/>
    </row>
    <row r="516" spans="3:3">
      <c r="C516" s="59"/>
    </row>
    <row r="517" spans="3:3">
      <c r="C517" s="59"/>
    </row>
    <row r="518" spans="3:3">
      <c r="C518" s="59"/>
    </row>
    <row r="519" spans="3:3">
      <c r="C519" s="59"/>
    </row>
    <row r="520" spans="3:3">
      <c r="C520" s="59"/>
    </row>
    <row r="521" spans="3:3">
      <c r="C521" s="59"/>
    </row>
    <row r="522" spans="3:3">
      <c r="C522" s="59"/>
    </row>
    <row r="523" spans="3:3">
      <c r="C523" s="59"/>
    </row>
    <row r="524" spans="3:3">
      <c r="C524" s="59"/>
    </row>
    <row r="525" spans="3:3">
      <c r="C525" s="59"/>
    </row>
    <row r="526" spans="3:3">
      <c r="C526" s="59"/>
    </row>
    <row r="527" spans="3:3">
      <c r="C527" s="59"/>
    </row>
    <row r="528" spans="3:3">
      <c r="C528" s="59"/>
    </row>
    <row r="529" spans="3:3">
      <c r="C529" s="59"/>
    </row>
    <row r="530" spans="3:3">
      <c r="C530" s="59"/>
    </row>
    <row r="531" spans="3:3">
      <c r="C531" s="59"/>
    </row>
    <row r="532" spans="3:3">
      <c r="C532" s="59"/>
    </row>
    <row r="533" spans="3:3">
      <c r="C533" s="59"/>
    </row>
    <row r="534" spans="3:3">
      <c r="C534" s="59"/>
    </row>
    <row r="535" spans="3:3">
      <c r="C535" s="59"/>
    </row>
    <row r="536" spans="3:3">
      <c r="C536" s="59"/>
    </row>
    <row r="537" spans="3:3">
      <c r="C537" s="59"/>
    </row>
    <row r="538" spans="3:3">
      <c r="C538" s="59"/>
    </row>
    <row r="539" spans="3:3">
      <c r="C539" s="59"/>
    </row>
    <row r="540" spans="3:3">
      <c r="C540" s="59"/>
    </row>
    <row r="541" spans="3:3">
      <c r="C541" s="59"/>
    </row>
    <row r="542" spans="3:3">
      <c r="C542" s="59"/>
    </row>
    <row r="543" spans="3:3">
      <c r="C543" s="59"/>
    </row>
    <row r="544" spans="3:3">
      <c r="C544" s="59"/>
    </row>
    <row r="545" spans="3:3">
      <c r="C545" s="59"/>
    </row>
    <row r="546" spans="3:3">
      <c r="C546" s="59"/>
    </row>
    <row r="547" spans="3:3">
      <c r="C547" s="59"/>
    </row>
    <row r="548" spans="3:3">
      <c r="C548" s="59"/>
    </row>
    <row r="549" spans="3:3">
      <c r="C549" s="59"/>
    </row>
    <row r="550" spans="3:3">
      <c r="C550" s="59"/>
    </row>
    <row r="551" spans="3:3">
      <c r="C551" s="59"/>
    </row>
    <row r="552" spans="3:3">
      <c r="C552" s="59"/>
    </row>
    <row r="553" spans="3:3">
      <c r="C553" s="59"/>
    </row>
    <row r="554" spans="3:3">
      <c r="C554" s="59"/>
    </row>
    <row r="555" spans="3:3">
      <c r="C555" s="59"/>
    </row>
    <row r="556" spans="3:3">
      <c r="C556" s="59"/>
    </row>
    <row r="557" spans="3:3">
      <c r="C557" s="59"/>
    </row>
    <row r="558" spans="3:3">
      <c r="C558" s="59"/>
    </row>
    <row r="559" spans="3:3">
      <c r="C559" s="59"/>
    </row>
    <row r="560" spans="3:3">
      <c r="C560" s="59"/>
    </row>
    <row r="561" spans="3:3">
      <c r="C561" s="59"/>
    </row>
    <row r="562" spans="3:3">
      <c r="C562" s="59"/>
    </row>
    <row r="563" spans="3:3">
      <c r="C563" s="59"/>
    </row>
    <row r="564" spans="3:3">
      <c r="C564" s="59"/>
    </row>
    <row r="565" spans="3:3">
      <c r="C565" s="59"/>
    </row>
    <row r="566" spans="3:3">
      <c r="C566" s="59"/>
    </row>
    <row r="567" spans="3:3">
      <c r="C567" s="59"/>
    </row>
    <row r="568" spans="3:3">
      <c r="C568" s="59"/>
    </row>
    <row r="569" spans="3:3">
      <c r="C569" s="59"/>
    </row>
    <row r="570" spans="3:3">
      <c r="C570" s="59"/>
    </row>
    <row r="571" spans="3:3">
      <c r="C571" s="59"/>
    </row>
    <row r="572" spans="3:3">
      <c r="C572" s="59"/>
    </row>
    <row r="573" spans="3:3">
      <c r="C573" s="59"/>
    </row>
    <row r="574" spans="3:3">
      <c r="C574" s="59"/>
    </row>
    <row r="575" spans="3:3">
      <c r="C575" s="59"/>
    </row>
    <row r="576" spans="3:3">
      <c r="C576" s="59"/>
    </row>
    <row r="577" spans="3:3">
      <c r="C577" s="59"/>
    </row>
    <row r="578" spans="3:3">
      <c r="C578" s="59"/>
    </row>
    <row r="579" spans="3:3">
      <c r="C579" s="59"/>
    </row>
    <row r="580" spans="3:3">
      <c r="C580" s="59"/>
    </row>
    <row r="581" spans="3:3">
      <c r="C581" s="59"/>
    </row>
    <row r="582" spans="3:3">
      <c r="C582" s="59"/>
    </row>
    <row r="583" spans="3:3">
      <c r="C583" s="59"/>
    </row>
    <row r="584" spans="3:3">
      <c r="C584" s="59"/>
    </row>
    <row r="585" spans="3:3">
      <c r="C585" s="59"/>
    </row>
    <row r="586" spans="3:3">
      <c r="C586" s="59"/>
    </row>
    <row r="587" spans="3:3">
      <c r="C587" s="59"/>
    </row>
    <row r="588" spans="3:3">
      <c r="C588" s="59"/>
    </row>
    <row r="589" spans="3:3">
      <c r="C589" s="59"/>
    </row>
    <row r="590" spans="3:3">
      <c r="C590" s="59"/>
    </row>
    <row r="591" spans="3:3">
      <c r="C591" s="59"/>
    </row>
    <row r="592" spans="3:3">
      <c r="C592" s="59"/>
    </row>
    <row r="593" spans="3:3">
      <c r="C593" s="59"/>
    </row>
    <row r="594" spans="3:3">
      <c r="C594" s="59"/>
    </row>
    <row r="595" spans="3:3">
      <c r="C595" s="59"/>
    </row>
    <row r="596" spans="3:3">
      <c r="C596" s="59"/>
    </row>
    <row r="597" spans="3:3">
      <c r="C597" s="59"/>
    </row>
    <row r="598" spans="3:3">
      <c r="C598" s="59"/>
    </row>
    <row r="599" spans="3:3">
      <c r="C599" s="59"/>
    </row>
    <row r="600" spans="3:3">
      <c r="C600" s="59"/>
    </row>
    <row r="601" spans="3:3">
      <c r="C601" s="59"/>
    </row>
    <row r="602" spans="3:3">
      <c r="C602" s="59"/>
    </row>
    <row r="603" spans="3:3">
      <c r="C603" s="59"/>
    </row>
    <row r="604" spans="3:3">
      <c r="C604" s="59"/>
    </row>
    <row r="605" spans="3:3">
      <c r="C605" s="59"/>
    </row>
    <row r="606" spans="3:3">
      <c r="C606" s="59"/>
    </row>
    <row r="607" spans="3:3">
      <c r="C607" s="59"/>
    </row>
    <row r="608" spans="3:3">
      <c r="C608" s="59"/>
    </row>
    <row r="609" spans="3:3">
      <c r="C609" s="59"/>
    </row>
    <row r="610" spans="3:3">
      <c r="C610" s="59"/>
    </row>
    <row r="611" spans="3:3">
      <c r="C611" s="59"/>
    </row>
    <row r="612" spans="3:3">
      <c r="C612" s="59"/>
    </row>
    <row r="613" spans="3:3">
      <c r="C613" s="59"/>
    </row>
    <row r="614" spans="3:3">
      <c r="C614" s="59"/>
    </row>
    <row r="615" spans="3:3">
      <c r="C615" s="59"/>
    </row>
    <row r="616" spans="3:3">
      <c r="C616" s="59"/>
    </row>
    <row r="617" spans="3:3">
      <c r="C617" s="59"/>
    </row>
    <row r="618" spans="3:3">
      <c r="C618" s="59"/>
    </row>
    <row r="619" spans="3:3">
      <c r="C619" s="59"/>
    </row>
    <row r="620" spans="3:3">
      <c r="C620" s="59"/>
    </row>
    <row r="621" spans="3:3">
      <c r="C621" s="59"/>
    </row>
    <row r="622" spans="3:3">
      <c r="C622" s="59"/>
    </row>
    <row r="623" spans="3:3">
      <c r="C623" s="59"/>
    </row>
    <row r="624" spans="3:3">
      <c r="C624" s="59"/>
    </row>
    <row r="625" spans="3:3">
      <c r="C625" s="59"/>
    </row>
    <row r="626" spans="3:3">
      <c r="C626" s="59"/>
    </row>
    <row r="627" spans="3:3">
      <c r="C627" s="59"/>
    </row>
    <row r="628" spans="3:3">
      <c r="C628" s="59"/>
    </row>
    <row r="629" spans="3:3">
      <c r="C629" s="59"/>
    </row>
    <row r="630" spans="3:3">
      <c r="C630" s="59"/>
    </row>
    <row r="631" spans="3:3">
      <c r="C631" s="59"/>
    </row>
    <row r="632" spans="3:3">
      <c r="C632" s="59"/>
    </row>
    <row r="633" spans="3:3">
      <c r="C633" s="59"/>
    </row>
    <row r="634" spans="3:3">
      <c r="C634" s="59"/>
    </row>
    <row r="635" spans="3:3">
      <c r="C635" s="59"/>
    </row>
    <row r="636" spans="3:3">
      <c r="C636" s="59"/>
    </row>
    <row r="637" spans="3:3">
      <c r="C637" s="59"/>
    </row>
    <row r="638" spans="3:3">
      <c r="C638" s="59"/>
    </row>
    <row r="639" spans="3:3">
      <c r="C639" s="59"/>
    </row>
    <row r="640" spans="3:3">
      <c r="C640" s="59"/>
    </row>
    <row r="641" spans="3:3">
      <c r="C641" s="59"/>
    </row>
    <row r="642" spans="3:3">
      <c r="C642" s="59"/>
    </row>
    <row r="643" spans="3:3">
      <c r="C643" s="59"/>
    </row>
    <row r="644" spans="3:3">
      <c r="C644" s="59"/>
    </row>
    <row r="645" spans="3:3">
      <c r="C645" s="59"/>
    </row>
    <row r="646" spans="3:3">
      <c r="C646" s="59"/>
    </row>
    <row r="647" spans="3:3">
      <c r="C647" s="59"/>
    </row>
    <row r="648" spans="3:3">
      <c r="C648" s="59"/>
    </row>
    <row r="649" spans="3:3">
      <c r="C649" s="59"/>
    </row>
    <row r="650" spans="3:3">
      <c r="C650" s="59"/>
    </row>
    <row r="651" spans="3:3">
      <c r="C651" s="59"/>
    </row>
    <row r="652" spans="3:3">
      <c r="C652" s="59"/>
    </row>
    <row r="653" spans="3:3">
      <c r="C653" s="59"/>
    </row>
    <row r="654" spans="3:3">
      <c r="C654" s="59"/>
    </row>
    <row r="655" spans="3:3">
      <c r="C655" s="59"/>
    </row>
    <row r="656" spans="3:3">
      <c r="C656" s="59"/>
    </row>
    <row r="657" spans="3:3">
      <c r="C657" s="59"/>
    </row>
    <row r="658" spans="3:3">
      <c r="C658" s="59"/>
    </row>
    <row r="659" spans="3:3">
      <c r="C659" s="59"/>
    </row>
    <row r="660" spans="3:3">
      <c r="C660" s="59"/>
    </row>
    <row r="661" spans="3:3">
      <c r="C661" s="59"/>
    </row>
    <row r="662" spans="3:3">
      <c r="C662" s="59"/>
    </row>
    <row r="663" spans="3:3">
      <c r="C663" s="59"/>
    </row>
    <row r="664" spans="3:3">
      <c r="C664" s="59"/>
    </row>
    <row r="665" spans="3:3">
      <c r="C665" s="59"/>
    </row>
    <row r="666" spans="3:3">
      <c r="C666" s="59"/>
    </row>
    <row r="667" spans="3:3">
      <c r="C667" s="59"/>
    </row>
    <row r="668" spans="3:3">
      <c r="C668" s="59"/>
    </row>
    <row r="669" spans="3:3">
      <c r="C669" s="59"/>
    </row>
    <row r="670" spans="3:3">
      <c r="C670" s="59"/>
    </row>
    <row r="671" spans="3:3">
      <c r="C671" s="59"/>
    </row>
    <row r="672" spans="3:3">
      <c r="C672" s="59"/>
    </row>
    <row r="673" spans="3:3">
      <c r="C673" s="59"/>
    </row>
    <row r="674" spans="3:3">
      <c r="C674" s="59"/>
    </row>
    <row r="675" spans="3:3">
      <c r="C675" s="59"/>
    </row>
    <row r="676" spans="3:3">
      <c r="C676" s="59"/>
    </row>
    <row r="677" spans="3:3">
      <c r="C677" s="59"/>
    </row>
    <row r="678" spans="3:3">
      <c r="C678" s="59"/>
    </row>
    <row r="679" spans="3:3">
      <c r="C679" s="59"/>
    </row>
    <row r="680" spans="3:3">
      <c r="C680" s="59"/>
    </row>
    <row r="681" spans="3:3">
      <c r="C681" s="59"/>
    </row>
    <row r="682" spans="3:3">
      <c r="C682" s="59"/>
    </row>
    <row r="683" spans="3:3">
      <c r="C683" s="59"/>
    </row>
    <row r="684" spans="3:3">
      <c r="C684" s="59"/>
    </row>
    <row r="685" spans="3:3">
      <c r="C685" s="59"/>
    </row>
    <row r="686" spans="3:3">
      <c r="C686" s="59"/>
    </row>
    <row r="687" spans="3:3">
      <c r="C687" s="59"/>
    </row>
    <row r="688" spans="3:3">
      <c r="C688" s="59"/>
    </row>
    <row r="689" spans="3:3">
      <c r="C689" s="59"/>
    </row>
    <row r="690" spans="3:3">
      <c r="C690" s="59"/>
    </row>
    <row r="691" spans="3:3">
      <c r="C691" s="59"/>
    </row>
    <row r="692" spans="3:3">
      <c r="C692" s="59"/>
    </row>
    <row r="693" spans="3:3">
      <c r="C693" s="59"/>
    </row>
    <row r="694" spans="3:3">
      <c r="C694" s="59"/>
    </row>
    <row r="695" spans="3:3">
      <c r="C695" s="59"/>
    </row>
    <row r="696" spans="3:3">
      <c r="C696" s="59"/>
    </row>
    <row r="697" spans="3:3">
      <c r="C697" s="59"/>
    </row>
    <row r="698" spans="3:3">
      <c r="C698" s="59"/>
    </row>
    <row r="699" spans="3:3">
      <c r="C699" s="59"/>
    </row>
    <row r="700" spans="3:3">
      <c r="C700" s="59"/>
    </row>
    <row r="701" spans="3:3">
      <c r="C701" s="59"/>
    </row>
    <row r="702" spans="3:3">
      <c r="C702" s="59"/>
    </row>
    <row r="703" spans="3:3">
      <c r="C703" s="59"/>
    </row>
    <row r="704" spans="3:3">
      <c r="C704" s="59"/>
    </row>
    <row r="705" spans="3:3">
      <c r="C705" s="59"/>
    </row>
    <row r="706" spans="3:3">
      <c r="C706" s="59"/>
    </row>
    <row r="707" spans="3:3">
      <c r="C707" s="59"/>
    </row>
    <row r="708" spans="3:3">
      <c r="C708" s="59"/>
    </row>
    <row r="709" spans="3:3">
      <c r="C709" s="59"/>
    </row>
    <row r="710" spans="3:3">
      <c r="C710" s="59"/>
    </row>
    <row r="711" spans="3:3">
      <c r="C711" s="59"/>
    </row>
    <row r="712" spans="3:3">
      <c r="C712" s="59"/>
    </row>
    <row r="713" spans="3:3">
      <c r="C713" s="59"/>
    </row>
    <row r="714" spans="3:3">
      <c r="C714" s="59"/>
    </row>
    <row r="715" spans="3:3">
      <c r="C715" s="59"/>
    </row>
    <row r="716" spans="3:3">
      <c r="C716" s="59"/>
    </row>
    <row r="717" spans="3:3">
      <c r="C717" s="59"/>
    </row>
    <row r="718" spans="3:3">
      <c r="C718" s="59"/>
    </row>
    <row r="719" spans="3:3">
      <c r="C719" s="59"/>
    </row>
    <row r="720" spans="3:3">
      <c r="C720" s="59"/>
    </row>
    <row r="721" spans="3:3">
      <c r="C721" s="59"/>
    </row>
    <row r="722" spans="3:3">
      <c r="C722" s="59"/>
    </row>
    <row r="723" spans="3:3">
      <c r="C723" s="59"/>
    </row>
    <row r="724" spans="3:3">
      <c r="C724" s="59"/>
    </row>
    <row r="725" spans="3:3">
      <c r="C725" s="59"/>
    </row>
    <row r="726" spans="3:3">
      <c r="C726" s="59"/>
    </row>
    <row r="727" spans="3:3">
      <c r="C727" s="59"/>
    </row>
    <row r="728" spans="3:3">
      <c r="C728" s="59"/>
    </row>
    <row r="729" spans="3:3">
      <c r="C729" s="59"/>
    </row>
    <row r="730" spans="3:3">
      <c r="C730" s="59"/>
    </row>
    <row r="731" spans="3:3">
      <c r="C731" s="59"/>
    </row>
    <row r="732" spans="3:3">
      <c r="C732" s="59"/>
    </row>
    <row r="733" spans="3:3">
      <c r="C733" s="59"/>
    </row>
    <row r="734" spans="3:3">
      <c r="C734" s="59"/>
    </row>
    <row r="735" spans="3:3">
      <c r="C735" s="59"/>
    </row>
    <row r="736" spans="3:3">
      <c r="C736" s="59"/>
    </row>
    <row r="737" spans="3:3">
      <c r="C737" s="59"/>
    </row>
    <row r="738" spans="3:3">
      <c r="C738" s="59"/>
    </row>
    <row r="739" spans="3:3">
      <c r="C739" s="59"/>
    </row>
    <row r="740" spans="3:3">
      <c r="C740" s="59"/>
    </row>
    <row r="741" spans="3:3">
      <c r="C741" s="59"/>
    </row>
    <row r="742" spans="3:3">
      <c r="C742" s="59"/>
    </row>
    <row r="743" spans="3:3">
      <c r="C743" s="59"/>
    </row>
    <row r="744" spans="3:3">
      <c r="C744" s="59"/>
    </row>
    <row r="745" spans="3:3">
      <c r="C745" s="59"/>
    </row>
    <row r="746" spans="3:3">
      <c r="C746" s="59"/>
    </row>
    <row r="747" spans="3:3">
      <c r="C747" s="59"/>
    </row>
    <row r="748" spans="3:3">
      <c r="C748" s="59"/>
    </row>
    <row r="749" spans="3:3">
      <c r="C749" s="59"/>
    </row>
    <row r="750" spans="3:3">
      <c r="C750" s="59"/>
    </row>
    <row r="751" spans="3:3">
      <c r="C751" s="59"/>
    </row>
    <row r="752" spans="3:3">
      <c r="C752" s="59"/>
    </row>
    <row r="753" spans="3:3">
      <c r="C753" s="59"/>
    </row>
    <row r="754" spans="3:3">
      <c r="C754" s="59"/>
    </row>
    <row r="755" spans="3:3">
      <c r="C755" s="59"/>
    </row>
    <row r="756" spans="3:3">
      <c r="C756" s="59"/>
    </row>
    <row r="757" spans="3:3">
      <c r="C757" s="59"/>
    </row>
    <row r="758" spans="3:3">
      <c r="C758" s="59"/>
    </row>
    <row r="759" spans="3:3">
      <c r="C759" s="59"/>
    </row>
    <row r="760" spans="3:3">
      <c r="C760" s="59"/>
    </row>
    <row r="761" spans="3:3">
      <c r="C761" s="59"/>
    </row>
    <row r="762" spans="3:3">
      <c r="C762" s="59"/>
    </row>
    <row r="763" spans="3:3">
      <c r="C763" s="59"/>
    </row>
    <row r="764" spans="3:3">
      <c r="C764" s="59"/>
    </row>
    <row r="765" spans="3:3">
      <c r="C765" s="59"/>
    </row>
    <row r="766" spans="3:3">
      <c r="C766" s="59"/>
    </row>
    <row r="767" spans="3:3">
      <c r="C767" s="59"/>
    </row>
    <row r="768" spans="3:3">
      <c r="C768" s="59"/>
    </row>
    <row r="769" spans="3:3">
      <c r="C769" s="59"/>
    </row>
    <row r="770" spans="3:3">
      <c r="C770" s="59"/>
    </row>
    <row r="771" spans="3:3">
      <c r="C771" s="59"/>
    </row>
    <row r="772" spans="3:3">
      <c r="C772" s="59"/>
    </row>
    <row r="773" spans="3:3">
      <c r="C773" s="59"/>
    </row>
    <row r="774" spans="3:3">
      <c r="C774" s="59"/>
    </row>
    <row r="775" spans="3:3">
      <c r="C775" s="59"/>
    </row>
    <row r="776" spans="3:3">
      <c r="C776" s="59"/>
    </row>
    <row r="777" spans="3:3">
      <c r="C777" s="59"/>
    </row>
    <row r="778" spans="3:3">
      <c r="C778" s="59"/>
    </row>
    <row r="779" spans="3:3">
      <c r="C779" s="59"/>
    </row>
    <row r="780" spans="3:3">
      <c r="C780" s="59"/>
    </row>
    <row r="781" spans="3:3">
      <c r="C781" s="59"/>
    </row>
    <row r="782" spans="3:3">
      <c r="C782" s="59"/>
    </row>
    <row r="783" spans="3:3">
      <c r="C783" s="59"/>
    </row>
    <row r="784" spans="3:3">
      <c r="C784" s="59"/>
    </row>
    <row r="785" spans="3:3">
      <c r="C785" s="59"/>
    </row>
    <row r="786" spans="3:3">
      <c r="C786" s="59"/>
    </row>
    <row r="787" spans="3:3">
      <c r="C787" s="59"/>
    </row>
    <row r="788" spans="3:3">
      <c r="C788" s="59"/>
    </row>
    <row r="789" spans="3:3">
      <c r="C789" s="59"/>
    </row>
    <row r="790" spans="3:3">
      <c r="C790" s="59"/>
    </row>
    <row r="791" spans="3:3">
      <c r="C791" s="59"/>
    </row>
    <row r="792" spans="3:3">
      <c r="C792" s="59"/>
    </row>
    <row r="793" spans="3:3">
      <c r="C793" s="59"/>
    </row>
    <row r="794" spans="3:3">
      <c r="C794" s="59"/>
    </row>
    <row r="795" spans="3:3">
      <c r="C795" s="59"/>
    </row>
    <row r="796" spans="3:3">
      <c r="C796" s="59"/>
    </row>
    <row r="797" spans="3:3">
      <c r="C797" s="59"/>
    </row>
    <row r="798" spans="3:3">
      <c r="C798" s="59"/>
    </row>
    <row r="799" spans="3:3">
      <c r="C799" s="59"/>
    </row>
    <row r="800" spans="3:3">
      <c r="C800" s="59"/>
    </row>
    <row r="801" spans="3:3">
      <c r="C801" s="59"/>
    </row>
    <row r="802" spans="3:3">
      <c r="C802" s="59"/>
    </row>
    <row r="803" spans="3:3">
      <c r="C803" s="59"/>
    </row>
    <row r="804" spans="3:3">
      <c r="C804" s="59"/>
    </row>
    <row r="805" spans="3:3">
      <c r="C805" s="59"/>
    </row>
    <row r="806" spans="3:3">
      <c r="C806" s="59"/>
    </row>
    <row r="807" spans="3:3">
      <c r="C807" s="59"/>
    </row>
    <row r="808" spans="3:3">
      <c r="C808" s="59"/>
    </row>
    <row r="809" spans="3:3">
      <c r="C809" s="59"/>
    </row>
    <row r="810" spans="3:3">
      <c r="C810" s="59"/>
    </row>
    <row r="811" spans="3:3">
      <c r="C811" s="59"/>
    </row>
    <row r="812" spans="3:3">
      <c r="C812" s="59"/>
    </row>
    <row r="813" spans="3:3">
      <c r="C813" s="59"/>
    </row>
    <row r="814" spans="3:3">
      <c r="C814" s="59"/>
    </row>
    <row r="815" spans="3:3">
      <c r="C815" s="59"/>
    </row>
    <row r="816" spans="3:3">
      <c r="C816" s="59"/>
    </row>
    <row r="817" spans="3:3">
      <c r="C817" s="59"/>
    </row>
    <row r="818" spans="3:3">
      <c r="C818" s="59"/>
    </row>
    <row r="819" spans="3:3">
      <c r="C819" s="59"/>
    </row>
    <row r="820" spans="3:3">
      <c r="C820" s="59"/>
    </row>
    <row r="821" spans="3:3">
      <c r="C821" s="59"/>
    </row>
    <row r="822" spans="3:3">
      <c r="C822" s="59"/>
    </row>
    <row r="823" spans="3:3">
      <c r="C823" s="59"/>
    </row>
    <row r="824" spans="3:3">
      <c r="C824" s="59"/>
    </row>
    <row r="825" spans="3:3">
      <c r="C825" s="59"/>
    </row>
    <row r="826" spans="3:3">
      <c r="C826" s="59"/>
    </row>
    <row r="827" spans="3:3">
      <c r="C827" s="59"/>
    </row>
    <row r="828" spans="3:3">
      <c r="C828" s="59"/>
    </row>
    <row r="829" spans="3:3">
      <c r="C829" s="59"/>
    </row>
    <row r="830" spans="3:3">
      <c r="C830" s="59"/>
    </row>
    <row r="831" spans="3:3">
      <c r="C831" s="59"/>
    </row>
    <row r="832" spans="3:3">
      <c r="C832" s="59"/>
    </row>
    <row r="833" spans="3:3">
      <c r="C833" s="59"/>
    </row>
    <row r="834" spans="3:3">
      <c r="C834" s="59"/>
    </row>
    <row r="835" spans="3:3">
      <c r="C835" s="59"/>
    </row>
    <row r="836" spans="3:3">
      <c r="C836" s="59"/>
    </row>
    <row r="837" spans="3:3">
      <c r="C837" s="59"/>
    </row>
    <row r="838" spans="3:3">
      <c r="C838" s="59"/>
    </row>
    <row r="839" spans="3:3">
      <c r="C839" s="59"/>
    </row>
    <row r="840" spans="3:3">
      <c r="C840" s="59"/>
    </row>
    <row r="841" spans="3:3">
      <c r="C841" s="59"/>
    </row>
    <row r="842" spans="3:3">
      <c r="C842" s="59"/>
    </row>
    <row r="843" spans="3:3">
      <c r="C843" s="59"/>
    </row>
    <row r="844" spans="3:3">
      <c r="C844" s="59"/>
    </row>
    <row r="845" spans="3:3">
      <c r="C845" s="59"/>
    </row>
    <row r="846" spans="3:3">
      <c r="C846" s="59"/>
    </row>
    <row r="847" spans="3:3">
      <c r="C847" s="59"/>
    </row>
    <row r="848" spans="3:3">
      <c r="C848" s="59"/>
    </row>
    <row r="849" spans="3:3">
      <c r="C849" s="59"/>
    </row>
    <row r="850" spans="3:3">
      <c r="C850" s="59"/>
    </row>
    <row r="851" spans="3:3">
      <c r="C851" s="59"/>
    </row>
    <row r="852" spans="3:3">
      <c r="C852" s="59"/>
    </row>
    <row r="853" spans="3:3">
      <c r="C853" s="59"/>
    </row>
    <row r="854" spans="3:3">
      <c r="C854" s="59"/>
    </row>
    <row r="855" spans="3:3">
      <c r="C855" s="59"/>
    </row>
    <row r="856" spans="3:3">
      <c r="C856" s="59"/>
    </row>
    <row r="857" spans="3:3">
      <c r="C857" s="59"/>
    </row>
    <row r="858" spans="3:3">
      <c r="C858" s="59"/>
    </row>
    <row r="859" spans="3:3">
      <c r="C859" s="59"/>
    </row>
    <row r="860" spans="3:3">
      <c r="C860" s="59"/>
    </row>
    <row r="861" spans="3:3">
      <c r="C861" s="59"/>
    </row>
    <row r="862" spans="3:3">
      <c r="C862" s="59"/>
    </row>
    <row r="863" spans="3:3">
      <c r="C863" s="59"/>
    </row>
    <row r="864" spans="3:3">
      <c r="C864" s="59"/>
    </row>
    <row r="865" spans="3:3">
      <c r="C865" s="59"/>
    </row>
    <row r="866" spans="3:3">
      <c r="C866" s="59"/>
    </row>
    <row r="867" spans="3:3">
      <c r="C867" s="59"/>
    </row>
    <row r="868" spans="3:3">
      <c r="C868" s="59"/>
    </row>
    <row r="869" spans="3:3">
      <c r="C869" s="59"/>
    </row>
    <row r="870" spans="3:3">
      <c r="C870" s="59"/>
    </row>
    <row r="871" spans="3:3">
      <c r="C871" s="59"/>
    </row>
    <row r="872" spans="3:3">
      <c r="C872" s="59"/>
    </row>
    <row r="873" spans="3:3">
      <c r="C873" s="59"/>
    </row>
    <row r="874" spans="3:3">
      <c r="C874" s="59"/>
    </row>
    <row r="875" spans="3:3">
      <c r="C875" s="59"/>
    </row>
    <row r="876" spans="3:3">
      <c r="C876" s="59"/>
    </row>
    <row r="877" spans="3:3">
      <c r="C877" s="59"/>
    </row>
    <row r="878" spans="3:3">
      <c r="C878" s="59"/>
    </row>
    <row r="879" spans="3:3">
      <c r="C879" s="59"/>
    </row>
    <row r="880" spans="3:3">
      <c r="C880" s="59"/>
    </row>
    <row r="881" spans="3:3">
      <c r="C881" s="59"/>
    </row>
    <row r="882" spans="3:3">
      <c r="C882" s="59"/>
    </row>
    <row r="883" spans="3:3">
      <c r="C883" s="59"/>
    </row>
    <row r="884" spans="3:3">
      <c r="C884" s="59"/>
    </row>
    <row r="885" spans="3:3">
      <c r="C885" s="59"/>
    </row>
    <row r="886" spans="3:3">
      <c r="C886" s="59"/>
    </row>
    <row r="887" spans="3:3">
      <c r="C887" s="59"/>
    </row>
    <row r="888" spans="3:3">
      <c r="C888" s="59"/>
    </row>
    <row r="889" spans="3:3">
      <c r="C889" s="59"/>
    </row>
    <row r="890" spans="3:3">
      <c r="C890" s="59"/>
    </row>
    <row r="891" spans="3:3">
      <c r="C891" s="59"/>
    </row>
    <row r="892" spans="3:3">
      <c r="C892" s="59"/>
    </row>
    <row r="893" spans="3:3">
      <c r="C893" s="59"/>
    </row>
    <row r="894" spans="3:3">
      <c r="C894" s="59"/>
    </row>
    <row r="895" spans="3:3">
      <c r="C895" s="59"/>
    </row>
    <row r="896" spans="3:3">
      <c r="C896" s="59"/>
    </row>
    <row r="897" spans="3:3">
      <c r="C897" s="59"/>
    </row>
    <row r="898" spans="3:3">
      <c r="C898" s="59"/>
    </row>
    <row r="899" spans="3:3">
      <c r="C899" s="59"/>
    </row>
    <row r="900" spans="3:3">
      <c r="C900" s="59"/>
    </row>
    <row r="901" spans="3:3">
      <c r="C901" s="59"/>
    </row>
    <row r="902" spans="3:3">
      <c r="C902" s="59"/>
    </row>
    <row r="903" spans="3:3">
      <c r="C903" s="59"/>
    </row>
    <row r="904" spans="3:3">
      <c r="C904" s="59"/>
    </row>
    <row r="905" spans="3:3">
      <c r="C905" s="59"/>
    </row>
    <row r="906" spans="3:3">
      <c r="C906" s="59"/>
    </row>
    <row r="907" spans="3:3">
      <c r="C907" s="59"/>
    </row>
    <row r="908" spans="3:3">
      <c r="C908" s="59"/>
    </row>
    <row r="909" spans="3:3">
      <c r="C909" s="59"/>
    </row>
    <row r="910" spans="3:3">
      <c r="C910" s="59"/>
    </row>
    <row r="911" spans="3:3">
      <c r="C911" s="59"/>
    </row>
    <row r="912" spans="3:3">
      <c r="C912" s="59"/>
    </row>
    <row r="913" spans="3:3">
      <c r="C913" s="59"/>
    </row>
    <row r="914" spans="3:3">
      <c r="C914" s="59"/>
    </row>
    <row r="915" spans="3:3">
      <c r="C915" s="59"/>
    </row>
    <row r="916" spans="3:3">
      <c r="C916" s="59"/>
    </row>
    <row r="917" spans="3:3">
      <c r="C917" s="59"/>
    </row>
    <row r="918" spans="3:3">
      <c r="C918" s="59"/>
    </row>
    <row r="919" spans="3:3">
      <c r="C919" s="59"/>
    </row>
    <row r="920" spans="3:3">
      <c r="C920" s="59"/>
    </row>
    <row r="921" spans="3:3">
      <c r="C921" s="59"/>
    </row>
    <row r="922" spans="3:3">
      <c r="C922" s="59"/>
    </row>
    <row r="923" spans="3:3">
      <c r="C923" s="59"/>
    </row>
    <row r="924" spans="3:3">
      <c r="C924" s="59"/>
    </row>
    <row r="925" spans="3:3">
      <c r="C925" s="59"/>
    </row>
    <row r="926" spans="3:3">
      <c r="C926" s="59"/>
    </row>
    <row r="927" spans="3:3">
      <c r="C927" s="59"/>
    </row>
    <row r="928" spans="3:3">
      <c r="C928" s="59"/>
    </row>
    <row r="929" spans="3:3">
      <c r="C929" s="59"/>
    </row>
    <row r="930" spans="3:3">
      <c r="C930" s="59"/>
    </row>
    <row r="931" spans="3:3">
      <c r="C931" s="59"/>
    </row>
    <row r="932" spans="3:3">
      <c r="C932" s="59"/>
    </row>
    <row r="933" spans="3:3">
      <c r="C933" s="59"/>
    </row>
    <row r="934" spans="3:3">
      <c r="C934" s="59"/>
    </row>
    <row r="935" spans="3:3">
      <c r="C935" s="59"/>
    </row>
    <row r="936" spans="3:3">
      <c r="C936" s="59"/>
    </row>
    <row r="937" spans="3:3">
      <c r="C937" s="59"/>
    </row>
    <row r="938" spans="3:3">
      <c r="C938" s="59"/>
    </row>
    <row r="939" spans="3:3">
      <c r="C939" s="59"/>
    </row>
    <row r="940" spans="3:3">
      <c r="C940" s="59"/>
    </row>
    <row r="941" spans="3:3">
      <c r="C941" s="59"/>
    </row>
    <row r="942" spans="3:3">
      <c r="C942" s="59"/>
    </row>
    <row r="943" spans="3:3">
      <c r="C943" s="59"/>
    </row>
    <row r="944" spans="3:3">
      <c r="C944" s="59"/>
    </row>
    <row r="945" spans="3:3">
      <c r="C945" s="59"/>
    </row>
    <row r="946" spans="3:3">
      <c r="C946" s="59"/>
    </row>
  </sheetData>
  <mergeCells count="15">
    <mergeCell ref="AJ1:AJ2"/>
    <mergeCell ref="AK1:AK2"/>
    <mergeCell ref="AL1:AL2"/>
    <mergeCell ref="A1:A2"/>
    <mergeCell ref="B1:C1"/>
    <mergeCell ref="D1:J1"/>
    <mergeCell ref="K1:M1"/>
    <mergeCell ref="N1:Q1"/>
    <mergeCell ref="R1:T1"/>
    <mergeCell ref="U1:U2"/>
    <mergeCell ref="V1:Y1"/>
    <mergeCell ref="Z1:AC1"/>
    <mergeCell ref="AD1:AG1"/>
    <mergeCell ref="AH1:AH2"/>
    <mergeCell ref="AI1:A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July 2020</vt:lpstr>
      <vt:lpstr>August 2020</vt:lpstr>
      <vt:lpstr>September 2020</vt:lpstr>
      <vt:lpstr>October 2020</vt:lpstr>
      <vt:lpstr>November 2020</vt:lpstr>
      <vt:lpstr>SEPTEMBER 2021</vt:lpstr>
      <vt:lpstr>December 2020</vt:lpstr>
      <vt:lpstr>JANUARY 2021</vt:lpstr>
      <vt:lpstr>FEBRUARY 2021</vt:lpstr>
      <vt:lpstr>OCTOBER 2021</vt:lpstr>
      <vt:lpstr>NOVEMBER-2021</vt:lpstr>
      <vt:lpstr>DECEMBER-2021</vt:lpstr>
      <vt:lpstr>AUGUST-2022</vt:lpstr>
      <vt:lpstr>SEPTEMBER-2022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A.</cp:lastModifiedBy>
  <dcterms:modified xsi:type="dcterms:W3CDTF">2022-09-17T04:31:04Z</dcterms:modified>
</cp:coreProperties>
</file>